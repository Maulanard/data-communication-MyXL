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Hype GLK\Documents\"/>
    </mc:Choice>
  </mc:AlternateContent>
  <xr:revisionPtr revIDLastSave="0" documentId="13_ncr:1_{A46D0D6B-D934-4E64-A5CE-650D5D9EA16D}" xr6:coauthVersionLast="47" xr6:coauthVersionMax="47" xr10:uidLastSave="{00000000-0000-0000-0000-000000000000}"/>
  <bookViews>
    <workbookView xWindow="-120" yWindow="-120" windowWidth="20730" windowHeight="11760" activeTab="2" xr2:uid="{D3F91E95-7747-4A3D-9875-CE150FF1662A}"/>
  </bookViews>
  <sheets>
    <sheet name="clean_data" sheetId="1" r:id="rId1"/>
    <sheet name="basics_statistic" sheetId="2" r:id="rId2"/>
    <sheet name="visualization" sheetId="3" r:id="rId3"/>
  </sheets>
  <definedNames>
    <definedName name="NativeTimeline_Date">#N/A</definedName>
    <definedName name="Slicer_Keterangan_fix">#N/A</definedName>
    <definedName name="Slicer_sentimen2">#N/A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2" i="2" l="1"/>
  <c r="B20" i="2"/>
  <c r="B19" i="2"/>
  <c r="G11" i="2"/>
  <c r="G10" i="2"/>
  <c r="G9" i="2"/>
  <c r="G8" i="2"/>
  <c r="G7" i="2"/>
</calcChain>
</file>

<file path=xl/sharedStrings.xml><?xml version="1.0" encoding="utf-8"?>
<sst xmlns="http://schemas.openxmlformats.org/spreadsheetml/2006/main" count="9036" uniqueCount="2040">
  <si>
    <t>UserName</t>
  </si>
  <si>
    <t>Score</t>
  </si>
  <si>
    <t>Date</t>
  </si>
  <si>
    <t>Time</t>
  </si>
  <si>
    <t>Ulasan</t>
  </si>
  <si>
    <t>Sentimen Widi</t>
  </si>
  <si>
    <t>Sentimen Nanda</t>
  </si>
  <si>
    <t>Sentimen Dra. UMI KOLISOH, M.Pd</t>
  </si>
  <si>
    <t>Sentimen</t>
  </si>
  <si>
    <t>Keterangan:</t>
  </si>
  <si>
    <t>Keterangan_fix</t>
  </si>
  <si>
    <t>Deden Herdiana</t>
  </si>
  <si>
    <t>"Harusnya dikasih bintang 4 bilang terimakasih... Belum mau ngasih bintang 5. Soalnya jaringan di area saya sangat lemot. Terkadang dari 4G malah drop sampai ke E..."</t>
  </si>
  <si>
    <t>1.0</t>
  </si>
  <si>
    <t>-1.0</t>
  </si>
  <si>
    <t xml:space="preserve">1. negatif </t>
  </si>
  <si>
    <t>Negative</t>
  </si>
  <si>
    <t>Positif</t>
  </si>
  <si>
    <t>Herry Ghunawan</t>
  </si>
  <si>
    <t>"Tolong dong masalah jaringan hampir setiap hari leg parahh!! Jangan buat kecewa costumer lah"</t>
  </si>
  <si>
    <t xml:space="preserve">2. positif </t>
  </si>
  <si>
    <t>Neutral</t>
  </si>
  <si>
    <t>Miyuki</t>
  </si>
  <si>
    <t>"Saya mau komen lagi,miminnnn kenapa akhir akhir ini jaringan XL sangat luar biasa parah sekalii bahkan pas saya searching di google behhh loadingnya kek nungguin ayam jantan bertelurÃ°Å¸â€”Â¿padahal jaringan saya selalu 4g tapi berasa kek 2g gak habis fikir kenapa bisa kek gini ya. Jadi tolong sekaliiii miminku tercinta untuk jaringan lebih lebih lebihhhhhhhhhhh ditingkatkan baiklah dari say segitu aja, ntar kalo dh ilang kesabaran sama jaringannya saya balik lagii:)"</t>
  </si>
  <si>
    <t>3. netral</t>
  </si>
  <si>
    <t>Wildan Saat Almaarif</t>
  </si>
  <si>
    <t>"Bonus kouta tiktok 13gb tidak diaktifkan/tidak diberikan kepada saya..jadi kouta yg seharusnya 105gb,jadi cuma 92gb..itu sangat merugikan bagi saya."</t>
  </si>
  <si>
    <t>NULL</t>
  </si>
  <si>
    <t>Positive</t>
  </si>
  <si>
    <t>Putri Purwantiy</t>
  </si>
  <si>
    <t>"Sejauh ini bagusÃ‚Â² aja sih apk nya, tpi udh bbrp hari sinyal xl hilang, mana baru isi pulsa, tolong ya kak, saya banyak tugas sekolah sama kerjaan juga, jika tidak ada sinyal seperti ini tugas sekolah sama kerjaan sangat keganggu sekali, mohon bantuannya ya kakÃ°Å¸â„¢ÂÃ°Å¸â„¢Â"</t>
  </si>
  <si>
    <t>3.0</t>
  </si>
  <si>
    <t>0.0</t>
  </si>
  <si>
    <t>Netral</t>
  </si>
  <si>
    <t>Kki Ffi</t>
  </si>
  <si>
    <t>"bagus murah murah harganya tapi kalo bisa tambahin yang masa aktif 1 bulan cuma yang harga nya lebih murah"</t>
  </si>
  <si>
    <t>2.0</t>
  </si>
  <si>
    <t>Ipoel Slow</t>
  </si>
  <si>
    <t>"Ini aplikasi aneh, di sms suruh beli paket via apliaksi my xl, sudah di download buka aplikasi mau pilih paket malah macet, tiba2 keluar sendiri, kalo belum siap jangan bikin aplikasi, mending pindah ke oprator yg lain."</t>
  </si>
  <si>
    <t>Ahmad Dzaki</t>
  </si>
  <si>
    <t>"Padahal cuma ngaktifin bonus, kuota utama ilang, sisa pulsa kesedot, Najis nyari nafkah gitu amat Cuihh"</t>
  </si>
  <si>
    <t>Vera Robo</t>
  </si>
  <si>
    <t>"jringan xl di tmpt ku blm lancar, kalau mau online dikamar tdk bsa. hrus di luar ruangan bru bsa lancar"</t>
  </si>
  <si>
    <t>Ulul Fajar</t>
  </si>
  <si>
    <t>"Asu lagi enak2 main game, gangguan mulu di akhir game"</t>
  </si>
  <si>
    <t>Albany Raizansyah</t>
  </si>
  <si>
    <t>"Oh gitu ya??? Knp kok sering lost pulsanya dgn langganan apalah RBT atw APA YG GAK JELAS, Registrasi aja tidak... kok NGACO YA.. Dan lg, knp sering dpt notifikasi kalo dpt bonus dr setiap pengisian ulang tp bo'ong alias GAK ADA alias ZOOOOONK. KECEWA SANGAT"</t>
  </si>
  <si>
    <t>Cuyiz Sulistyo Wonka</t>
  </si>
  <si>
    <t>"Saya sedang bermasalah dengan pengisian pulsa karena masa tenggang, xl care maya dan agents sungguh tidak membantu. Maya bot: terbatas dalam cara penyelesaian, agents : antrian tidak bergerak sedikitpun!! Tolonglah fast response. Cs nya kalah sm shopee yg gercep dan "terlihat" online saat menerima pengaduan"</t>
  </si>
  <si>
    <t>Robi Arshaka</t>
  </si>
  <si>
    <t>"mantap...bisa bayar dengan va BCA kalau beli pulsa di myXL....trima kasih xl..."</t>
  </si>
  <si>
    <t>Swandaru Tirta Sandhika</t>
  </si>
  <si>
    <t>"Sebenarnya bagi masyarakat awam cukup pintar untuk: merestart device kalian &gt; switch ke kartu lain/kartu xl yg serupa agar tidak terjadi crash atau keluar apps sendiri &gt; membersihkan penyimpanan internal agar tidak terjadi lemot pada device jika hal hal lain seperti terpotong pulsa lebih baik anda semua pilih fitur kontrol pulsa pada laman pengaturan Sekian dari saya terimakasih Ã°Å¸â„¢ÂÃ°Å¸â€˜Â"</t>
  </si>
  <si>
    <t>Teguh Susanto</t>
  </si>
  <si>
    <t>"Harga sdh oke, lbh terjangkau dr yg lain, tapi kualitas jaringan Sangat MENGECEWAKAN, TIDAK STABIL, bahkan signalnya SERING ilang-ilangan!! Percuma kuota besar tapi LEMOT PARAH ... . Tolong PERBAIKI!!"</t>
  </si>
  <si>
    <t>Nur Wahid Sendi</t>
  </si>
  <si>
    <t>"Kenapa sinyal XL kalau malem jelek banget tapi kalau siang bagus banget?"</t>
  </si>
  <si>
    <t>Aji Firmansyah</t>
  </si>
  <si>
    <t>"Seru banget. Saya baru beli paket bayar pake pulsa. Trus masih ada sisa pulsa 30rebuu. paketnya emang udah masuk sihh, trus on data buka ini itu yang kesedot pulsanya kipakkk, mana abis tuh 30rebu Kipakk. Plislah untuk xl kalo mau nyedot pulsa usahakan ada konfirmasi atau tidaknya. Soalnya kakak saya juga sering ngalamin seperti itu. Saya dan kakak saya pelanggan setia xl but xl jaringan lumayan bagus dan terkadang ada diskon gede"an Jadi tolong ya di perbaiki lagi agar tidak mengcewan pelanggan"</t>
  </si>
  <si>
    <t>Hendi Hasan</t>
  </si>
  <si>
    <t>"Mahal,harga tidak merakyat, kuotanya kebanyakan buat youtubeanÃ°Å¸ËœÂ¡"</t>
  </si>
  <si>
    <t>7E Muhammad Shofarryan Firmana</t>
  </si>
  <si>
    <t>"Bagus sekali apk nya saya suka Ã°Å¸ËœÂÃ°Å¸ËœÂÃ°Å¸ËœÂ terima kasih my XL sudah memberi kami paket data 1gb"</t>
  </si>
  <si>
    <t>Rizaltoha</t>
  </si>
  <si>
    <t>"Mau login susah bener, autentikasi gagal mulu... padhal dah masukin otp... mohon dijawab."</t>
  </si>
  <si>
    <t>Su Hendrik</t>
  </si>
  <si>
    <t>"Aplikasi selalu terhenti jadi gak bisa di buka, sudah uninstal dan instal lagi yg baru tapi tetap aplikasi terhenti atau aplikasi myXL tidak menanggapi.."</t>
  </si>
  <si>
    <t>M Ihsan Malik</t>
  </si>
  <si>
    <t>"Koneksi internet sering hilang dan lemot bisa dari pagi sampe malem, cuman bisa internetan beberapa menit abis itu ilang lagi terus aja begitu... Masalahnya bukan saya doang yg begitu, orang dekat saya juga merasakannya"</t>
  </si>
  <si>
    <t>Nuha 885</t>
  </si>
  <si>
    <t>"tolong dirubah lagi lah untuk penjualan masa aktif kartu,cepet banget masa tenggangnya di isi 10 /20 ribu ga nyampe sebulan masa aktif dan ada juga jualan masa aktif..saran saya buang budaya itu,saya sebagai pengguna baru cukup kaget dengan kebijakan seperti itu,saya tidak sedang membandingkan dengan provider lain..hanya saja saya ngasih saran..terimakasij"</t>
  </si>
  <si>
    <t>J4N9 K1N9</t>
  </si>
  <si>
    <t>"Aplikasi ..myxl .. Aga pelit ... Ga sepirti myim3 ... Isi ulang pulsa ... Bner2 sering dapat bonos kouta 1 gb... Smpai 6 gb... Bner2 yata"</t>
  </si>
  <si>
    <t>Nia Dty</t>
  </si>
  <si>
    <t>"kenapa setiap saya membuka myXL apk nya selalu keluar sendiri? dulu biasa" aja dipake sekarang kok malah gini? developer tolong segera perbaiki"</t>
  </si>
  <si>
    <t>Muh Yaproni</t>
  </si>
  <si>
    <t>"mudah dan cepat. terima kasih... sdh melayani saya..selama lebih dari 15 tahun. sekali lagibterimankasih XL"</t>
  </si>
  <si>
    <t>Budi Handoko Sujatno</t>
  </si>
  <si>
    <t>"Lebih praktis &amp; cepat untuk top up , cek kuota , pulsa dll"</t>
  </si>
  <si>
    <t>Ummi Hani</t>
  </si>
  <si>
    <t>"Makin jelek aja astaga aplikasinyaa. Tiap mau dibuka loadingnya lama, dan keluar sendiri terus sblm sempet aktifkan kuota unlimitednya sampe saya hapus terus dwnload lagi apk nya tp ttp aja ngak bisa login ke menunya. PARAHHHHHHHH Ã°Å¸â€˜Å½Ã°Å¸â€˜Å½Ã°Å¸â€˜Å½Ã°Å¸â€˜Å½Ã°Å¸â€˜Å½Ã°Å¸â€˜Å½Ã°Å¸â€˜Å½Ã°Å¸â€˜Å½Ã°Å¸â€˜Å½Ã°Å¸â€˜Å½Ã°Å¸â€˜Å½Ã°Å¸â€˜Å½Ã°Å¸â€˜Å½Ã°Å¸â€˜Å½"</t>
  </si>
  <si>
    <t>Arman Bor Stros</t>
  </si>
  <si>
    <t>"Aplikasi xl anlimited bisa untuk ambil bonus di saat kita baru isi ulang"</t>
  </si>
  <si>
    <t>Hengky Y Lauw</t>
  </si>
  <si>
    <t>"Tolong untuk di tingkat kan LG sinyal nya Krn semenjak XL di beli sm Axis sinyal Nye jd makin parah bgt."</t>
  </si>
  <si>
    <t>Syam</t>
  </si>
  <si>
    <t>"ga ada perubahan. masih lelet aja ni xl. tutup aja perusahaan xl. ga guna"</t>
  </si>
  <si>
    <t>Vlntino</t>
  </si>
  <si>
    <t>"Buset dah sinyal nya tinggal di kota berasa tinggal di hutan gak ada sinyal jariangan doang ada internet nya bobrok"</t>
  </si>
  <si>
    <t>Maya Ayunda</t>
  </si>
  <si>
    <t>"sekarang xl sinyalnya sudah bagus. aq pake kartu xl ini sudah lama lebih dari 10th. kartu lain boleh ganti2 tapi kartu xl ini tetap jadi kartu utamaku"</t>
  </si>
  <si>
    <t>Fei Hung</t>
  </si>
  <si>
    <t>"saya tdk berlangganan mood musik,,main potong aja,,,"</t>
  </si>
  <si>
    <t>Eka Rusmana</t>
  </si>
  <si>
    <t>"chat di maya dah kaya org bego,ga prnah di respon.....apk ga jelas"</t>
  </si>
  <si>
    <t>Agum Ge Pamungkas Id</t>
  </si>
  <si>
    <t>"Tolong klo cs live chat itu tanggepin , sinyal daerah saya akhir" ini naik turun"</t>
  </si>
  <si>
    <t>Fahmi Rahmany</t>
  </si>
  <si>
    <t>"Makin kesini makin gak jelas, susah untuk komunikasi langsung dengan cust servicenya"</t>
  </si>
  <si>
    <t>Tarno Noo</t>
  </si>
  <si>
    <t>"Toling dong teh maya bapak ibu jaringan di kampung saya makin kesini makin jelek jaringan xl. Liat youtube aja lambat jaringan jarang full paling bayak 2 - 3 tidak pernah full. Telepon seluler putus putus. Tolong di perbaiki seperti semulaa. Terima kasihh"</t>
  </si>
  <si>
    <t>Farel Hdyt</t>
  </si>
  <si>
    <t>"yaaa kenapa sekarang data ga bisa di timbun masa data yang kemarin masih ada 4gb pas beli lagi kuota malah hilang yang 4gb nya, ga mau rugi ya?"</t>
  </si>
  <si>
    <t>Dany Permana</t>
  </si>
  <si>
    <t>"Katany unlimetid turbo ..ketika kuota utama habis ..trus yg unlimited nya kok jadi loading trus Ã°Å¸â„¢Â klau dlu lancar bagus skrng jadi loading trus gk lancar ..tolong perbaiki"</t>
  </si>
  <si>
    <t>Kholis Y. F</t>
  </si>
  <si>
    <t>"XL kenapa sikayak gini sekarang, males gue jadinya, siaÃ‚Â² duit gue, kuota gue, kagak bisa ngapa ngapain, dahlah."</t>
  </si>
  <si>
    <t>Srii Elhaff</t>
  </si>
  <si>
    <t>"Tidak di rekomendasikan lg utk xl karena makin kesini makin burukkk.. Gak sukaa pokoknyaa.. Gak akan lagi pake xl !!!!"</t>
  </si>
  <si>
    <t>Arhai Aphie</t>
  </si>
  <si>
    <t>"Sinyal benerin bos setiap ujan aja jelek nh sinyal, padahal w di Jakarta barat. paket aja di mahalin, kualitas sama kaya yang murah"</t>
  </si>
  <si>
    <t>Krisna Pramuditya</t>
  </si>
  <si>
    <t>"Kenapa saya melakukan pembelian paket yang sama tetapi jumlah kuota tidak bertambah malah tergantikan oleh yang baru"</t>
  </si>
  <si>
    <t>Dhirga Alvaro</t>
  </si>
  <si>
    <t>"Sangat membantu, dan paket nya murah meriah, pas di kantong"</t>
  </si>
  <si>
    <t>Johananto -</t>
  </si>
  <si>
    <t>"Isinya 90% komentar negatif semua. Dan semua dijawab silahkan hubungi maya myxl dll. Jawabannya sama semua. Mohon maaf dan silahkan hubungi costumer service. Jadi ragu mau lanjut"</t>
  </si>
  <si>
    <t>Geming Nation206</t>
  </si>
  <si>
    <t>"Aplikasi ini juga bisa digunakan sebagai bahan dasar pembuatan website toko online seperti pulsa &amp; paket"</t>
  </si>
  <si>
    <t>Glng Agst</t>
  </si>
  <si>
    <t>"Coba perbaiki masa gk bisa ambil hadiah tar saya kasih bintang 5 untuk sekrang 4 dlu"</t>
  </si>
  <si>
    <t>Cah Ndeso</t>
  </si>
  <si>
    <t>"Mulai kumat... Nggak stabil. Untuk daerah pelosok masih belum ada jaringam yg bagus."</t>
  </si>
  <si>
    <t>Zainul Muttaqin</t>
  </si>
  <si>
    <t>"Jaringannya hancur banget terutama jaringan internet, apalagi untuk daerah pedesaan padahal daerah pedesaan rataÃ‚Â² pakai XL tapi jaringannya tidak pernah di perhatikan. Tower dekat tapi jaringan buruk."</t>
  </si>
  <si>
    <t>Rini Handayani</t>
  </si>
  <si>
    <t>"tolong promo kuotanya lebih di banyakin, kalau terlalu mahal bisa ganti perdana lain, terimakasih"</t>
  </si>
  <si>
    <t>Wulan Sadun</t>
  </si>
  <si>
    <t>"lebih gampang milih paketnya. keterangannya juga jelas banget. mantap deh"</t>
  </si>
  <si>
    <t>Anggara Sahputra</t>
  </si>
  <si>
    <t>"My XL masih belum bisa digunakan, udah beberapa kali bilang ke Maya, bilangnya suruh di uninstall lalu coba download lagi hapus data , udah di lakuin semua bahkan sampe beberapa kali , masih tetap gak bisa padahal saya pengguna lama, Karna saya ganti hp, saya download di hp baru malahan kga bisa , dan gak ngebantu juga si Maya. Terpaksa ganti kartu , KECEWA AKU !!!"</t>
  </si>
  <si>
    <t>Iis S</t>
  </si>
  <si>
    <t>"Bgs!!!!!!!!!!!!!!!!!!!!!!!!!!!!!!!!!!!!!!!!!!!!!!!!!!!!!!!!!!!!!!!!!!!!!!!!!!!!!!!!!!!!!!!!!!!!!!!!!!!!!!!!!!!!!!!!!!!!!!!!!!!!!!!!!!!!!!!!!!!!!!!!!!!!!!!!!!!!!!!!!!!!!!!!!!!!!!!!!!!!!!!!!!!!!!!!!!!!!!!!!!!!!!!!!!!!!!!!!!!!!!!!!!!!!!!!!!!!!!!!!!!!!!!!!!!!!!!!!!!!!!!!!!!!!!!!!!!!! Eh tapi boong Ã°Å¸Ëœâ€šÃ°Å¸Ëœâ€š"</t>
  </si>
  <si>
    <t>Hadi Maryadi</t>
  </si>
  <si>
    <t>"dari dulu sejak sekolah SMA selalu pakai XL . tolong ya kak jaringan XL di stabilkan lagi . sukses slalu XL axiata!!!!"</t>
  </si>
  <si>
    <t>M Khairul Nizam</t>
  </si>
  <si>
    <t>"Saya mau melakukan pembelian paket tapi kenapa tidak bisa herannn terjadi kesalahan maksudnya apa makin lama xl makin ngk jelas"</t>
  </si>
  <si>
    <t>Budiarto Gultom</t>
  </si>
  <si>
    <t>"Kartu xl makin lama sinyal nya makin kayak sampah mau di mana aja di bawa pasti sama aja sinyal nya hilang hilang kecewa berat pakai kartu ini maaf buat provider xl saya gak mau pakai kartu anda lagi merasa rugi"</t>
  </si>
  <si>
    <t>Rahmat Nur Fitri Ruhiyat</t>
  </si>
  <si>
    <t>"Aplikasi berjalan dengan baik, cuman lebih di tingkatkan kualitas app nya, jgn kalau log in atau memulai transaksi malah mengalami gangguan."</t>
  </si>
  <si>
    <t>Kadhafi Hayz</t>
  </si>
  <si>
    <t>"Heran saya ... awalnya signal XL baik2 saja walau kadang naik turun , 2 hari ini kenapa susah sekali yaa signal XL sampe gak ada signal yang muncul di layar hape ..."</t>
  </si>
  <si>
    <t>Yudistera</t>
  </si>
  <si>
    <t>"alhamdulilah pelayanan mulai membaik, sekarang sudah bisa transaksi pembelian di aplikasi myXL. terus tingkatkan pelayanan."</t>
  </si>
  <si>
    <t>Asep Ogell</t>
  </si>
  <si>
    <t>"Tolong apk nya di perbaiki kembali. Dikarnakan sering lag saat melakukan transaksi maupun pengecekan data. Semoga segera di perbaiki agar pengguna yang lain puas."</t>
  </si>
  <si>
    <t>I Wayan Suarsana</t>
  </si>
  <si>
    <t>"Terimakasih admin. Aplikasi ini sangat membantu saya sebagai pelanggan Kartu XL."</t>
  </si>
  <si>
    <t>Mhd Toha</t>
  </si>
  <si>
    <t>"Terima ksih xl telah memberikan promo2 yg sangat mantap...semoga kedepannya xl terus memberikan promo kepada pelanggannya"</t>
  </si>
  <si>
    <t>Boy Saleh</t>
  </si>
  <si>
    <t>"Hp diam sendirian, gak disentuh ber jam jam, tau tau muncul : Anda sedang menikmati internet dengan tarif normal Rp1rb/MB. Mau YOUTUBE tanpa kuota? Pilih Pkt XTRA Combo di *123# Padahal data dan juga wifi tidak ada yang aktif, Pulsa jadi berkurang sendiri. Itu namanya pencurian pulsa, coba dikali berapa banyak pelanggan, perusahaan besar begitu, kok berkelakuan kotor"</t>
  </si>
  <si>
    <t>Pangeran Jalanan</t>
  </si>
  <si>
    <t>"Paket youtube 1 hari unlimited baru diaktifin semalem puku 24.00 ,pagi udah abis ,gila xl males guw make xl lagi pembohong,buang xl anjrittt"</t>
  </si>
  <si>
    <t>Kitty Hariani-02</t>
  </si>
  <si>
    <t>"Sinyal tolong di perbaiki lagi ya...kemaren saya kesel bnget sinyal gc ada"</t>
  </si>
  <si>
    <t>Calvine Pratama</t>
  </si>
  <si>
    <t>"Makin baik aja nih aplikasinya. Banyak fitur dan benefitnya sekarang. Mulai dari lock pulsa, dan bonus2 yg lain. Sukes terus MyXL"</t>
  </si>
  <si>
    <t>Arul Hendra</t>
  </si>
  <si>
    <t>"Saya kasih bintang 5 bukan karna maya..karna jaringannya XL bagi saya pribadi sangatlah membatu. Pertahankan kualitas jaringan internetnya ok.."</t>
  </si>
  <si>
    <t>Yudisa .A</t>
  </si>
  <si>
    <t>"Mau bilang jelek bingung mau bilang bagus agak tidak layak, buat sosmed lancar tapi buar ngegame langsung lag sinyal ilang terus"</t>
  </si>
  <si>
    <t>Gusti Dwitama</t>
  </si>
  <si>
    <t>"Bisa gak perbaiki jaringan nya ? Makin hari makin parah aja niih jaringan .. Kuota banyak tapi ga bisa buat apa2 .. Lelet amat nih jaringan"</t>
  </si>
  <si>
    <t>Adham Mardin</t>
  </si>
  <si>
    <t>"Kenapa saya tidak pernah dapat diskon kuota dari xl padahal teman saya selalu dapat.saya juga rutin beli paket"</t>
  </si>
  <si>
    <t>Achmad Riefai</t>
  </si>
  <si>
    <t>"Semenjak ganti pascabayar kok malah jadi lemot yaa?, sebelum nya lancar lancar aja."</t>
  </si>
  <si>
    <t>Sh Kurniasih</t>
  </si>
  <si>
    <t>"Ampun deh baru kali ini isi paket akrab baru 8 hari udh mau hbs.. pdhl bulanÃ‚Â² sebelumnya bisa sampe 30har,, kenapa ya perasaan kok skrg cepet bgt habis kuotanya pdhl aplikasi yg di gunakan juga hampir sama setiap blnnya &amp; masih di bilang normal sedih deh tgl segini udh harus isi booster lagi, pdhl seborosÃ‚Â²nya pemakaian aplikasi di hari ke 20 atau 25 baru booster lagi Ã°Å¸Â¥ÂºÃ°Å¸Â¥ÂºÃ°Å¸Â¥Âº Jadi mikir lagi kalo terusÃ‚Â²an ky gini Ã°Å¸ËœÂ¥"</t>
  </si>
  <si>
    <t>Aziznasir Sodikin124</t>
  </si>
  <si>
    <t>"sangat membantu, yg terpenting terus tingkatkan perfom nya itu aja yg ingin gw bilang, terimakasih."</t>
  </si>
  <si>
    <t>Muhammad Hilmii H</t>
  </si>
  <si>
    <t>"Masa aku gak ngeaktipin data tapi pulsaku 20 ribu habis sendiri, padahal aku pakai wifi loh."</t>
  </si>
  <si>
    <t>Dino Thunder</t>
  </si>
  <si>
    <t>"tolong diperbaiki lgi jaringan dan aplikasinya kadang suka error pada saat buka apknya itu saja"</t>
  </si>
  <si>
    <t>Yusuf M Ikhsan</t>
  </si>
  <si>
    <t>"Lah gw pake xl sinyal aman aman aja kaga ada lag lagan Malahan enakan xl daripada si telkom Gw lokasi di kampung tapi sinyal joss mantep"</t>
  </si>
  <si>
    <t>Nuri Febriantika</t>
  </si>
  <si>
    <t>"sinyal bagus tapi gak bisa buka sosmed, padahal dekat sama tower loh, mau buka my xl aja gak bisa"</t>
  </si>
  <si>
    <t>Ono Darsono</t>
  </si>
  <si>
    <t>"Sinyal makin lemah,internet lambat padahal paket combo VIP/combo reguler sama saja lemotnya. Tlng tingkatkan lagi jaringan inet nya, 4G serasa 2G/ Edge, parah deh. Update: Untuk saat ini Diluar ruangan cukup bagus tapiiii...didalam ruangan, dirumah,di kantor, lemot banget speed internet nya. Tolong perkuat dong jangkauan sinyal inet nya.Trims... Update: di indoor makin parah sinyal inet nya, makin lemot, apalagi musim hujan begini signal very down....Hhhhrrrggghh bikin emozi aja."</t>
  </si>
  <si>
    <t>Dimas Nugroho</t>
  </si>
  <si>
    <t>"Saya reload tiap beberapa detik kemudian harga paketnya suka berubah berubah."</t>
  </si>
  <si>
    <t>Ifan Jr</t>
  </si>
  <si>
    <t>"PROVIDER KERAJAAN'NYA HANYA MOLOR !!! JARINGAN SEMAKIN HARI SEMAKIN BUSUK !!! CUSTOMER TIDAK DI PRIORITASKAN !!! KLO TIDAK ADA KAMI KALIAN MAU MAKAN APA !!! BEKERJALAH SEBAIKÃ‚Â²NYA , JANGAN HANYA CUAN !!!"</t>
  </si>
  <si>
    <t>Keynaren Fazly Mawla</t>
  </si>
  <si>
    <t>"XL Napa si kalo mau beli paket combo mini Eror Mulu kaga jelas banget padahal masi ada sisa paketan buat isi kuota nya najiss"</t>
  </si>
  <si>
    <t>Ruci Trisandry Kirana</t>
  </si>
  <si>
    <t>"Sinyal jelek, layanan aplikasi xl tidak memuaskan, pemberitahuan kuota habis selalu menguras pulsa yg ada dulu baru notofication keluar"</t>
  </si>
  <si>
    <t>Rika Libra</t>
  </si>
  <si>
    <t>"Saya pakai XL hampir 5 tahun Pakai aplikasi my XL udah 3tahunan Sabar saya sabar kalo tiba-tiba aplikasi myxl keluar sendiri pas daftar paket Sabar saya benar-benar sabar Tapi tolong diperbaiki biar tidak terus seperti ini Saya setia pake XL jadi mohon diperbaiki"</t>
  </si>
  <si>
    <t>Sony Anggara</t>
  </si>
  <si>
    <t>"Lagi serba online pak, mau ngisi kuota, kenapa gabisa sih ????! Status mas perbaikan nya sampai kapan ???!"</t>
  </si>
  <si>
    <t>Ulum Moba Gaming</t>
  </si>
  <si>
    <t>"Pembaruan sampai jam berapa ini kak rabu 09 februari 2022 jam 18.15 sampai jam berapa??"</t>
  </si>
  <si>
    <t>Rizki Istiqomah</t>
  </si>
  <si>
    <t>"Kemaren promo 60gb 60rb lumayan sih sebulan ga abis malah kebuang . Saran kalo kuota banyak masa aktif kuotanya di tambahin kak.. Atau bikin menu tambah masa aktif kuota biar ga buang2 kuota.. Kemaren dapet promo lg 70gb 75rb .. Alhamdulillah promo ga pernah mengecewakan Ã°Å¸ËœÂ"</t>
  </si>
  <si>
    <t>Ucchy Khazus</t>
  </si>
  <si>
    <t>"Mohon maaf sebelumbya, Kenapa pas saya masukkan kode voucer 13 GB, terus ada notifikasi masuk dan di teruskan untuk scan voucer, setelah sya download alpikasi myxl, terus sya scan ternyata tdk ada apa2, malahan sya rugi karna voucer yg saya beli, itu ternyata tdk ada apa apa,. dan setiap login di myxl, biar menggunakan hostpot/Wifi tetapi keterangan cek koneksi internet,. Maksudnya apa ini bosss,. Sudah beli kuota mahal2 tetapi tidak bisa di gunakan Jadi kedapannya harus di perbaiki lagi,."</t>
  </si>
  <si>
    <t>Sai 93</t>
  </si>
  <si>
    <t>"Kenapa sih setiap buka nya eror. Gonta ganti jaringan sama aja. Kaya aplikasi ukuran 10GB aja. Lemot"</t>
  </si>
  <si>
    <t>Ahmad Ropi</t>
  </si>
  <si>
    <t>"Buka YouTube bisa wa lancar masuk ke myxl tidak ada koneksi,, XL sehat ??"</t>
  </si>
  <si>
    <t>Agunk Bakar</t>
  </si>
  <si>
    <t>"Hari hari kalau mau beli paket lagi masuk my xl susahnya minta ampun, udah pake versi paling baru padahal, ini maaf klo saya bandingkan dengan my telkomsel dan indosat jauh bgt. Kedua aplikasi itu on point ga pernah kaya my xl sering kali aku kesulitam login. Tolong lah di fix pak. Mohon maaf sebelumnya, saya tidak bermaksud apapun, cuma menyampaikan apa yg saya kesalkan, saya juga pengguna xl sejak lama.... Karna dari dulu di daerah saya paling enak xl doang."</t>
  </si>
  <si>
    <t>Black Owl</t>
  </si>
  <si>
    <t>"Sering gak bs masuk..koneksi internet lah gak konek,padahal konek dan ada data ya..terus lama masuk ke aplikasinya juga..tolong di perbaiki..makasih"</t>
  </si>
  <si>
    <t>Anantadw</t>
  </si>
  <si>
    <t>"Sinyal makin hari makin lemottt, ini apk buat apa sih? Kenapa pas mau dipake malah gagal memuat data terus? Astagaaaa"</t>
  </si>
  <si>
    <t>Black Dragon</t>
  </si>
  <si>
    <t>"Lebih baik dari yg dulu,terima kasih untuk myxl yg bisa mempermudah cek kuota,pulsa dan kalau bisa lebih bnyk gratisan sih Ã°Å¸â€˜Â"</t>
  </si>
  <si>
    <t>Jandres Mautang</t>
  </si>
  <si>
    <t>"paketnya ekonomis, sesuai dgn saat ini dan di tempat dimana kami tinggal jaringannya oke"</t>
  </si>
  <si>
    <t>Huang Toto</t>
  </si>
  <si>
    <t>"Buruk banget Xl,buat tlp aja.blm bicara uda mati,internet jg begitu....bgm nih???BUAT APA BAYAR BULANAN.KALAU HASIL NYA SANGAT BURUK....SEKALI"</t>
  </si>
  <si>
    <t>Doni Ristiawan</t>
  </si>
  <si>
    <t>"Woooooyy aplikasi ini knapa si, slalu keluar aplikasi sendiri, tiap log-in eror terus gk bisa masuk ke pelayanannya, tolong di perbaiki kesalahannya dan klau tidak bisa di perbaiki gk usah di tampilkan di playstore, hapus aja aplikasi ini."</t>
  </si>
  <si>
    <t>Bagus Sukar Manto</t>
  </si>
  <si>
    <t>"lanjutkan,jgn ada pengurangan kuota swadaya dan harga KL bs lbh murah lg"</t>
  </si>
  <si>
    <t>Sidik Waskito</t>
  </si>
  <si>
    <t>"bangun tower di pelosok2 negeri biar komunikasi semakin lancar pertahankan harga dan layanan"</t>
  </si>
  <si>
    <t>Jahra Aulia Fattiha</t>
  </si>
  <si>
    <t>"Aplikasinya memuaskan walapun saya ambil gratisan nya pulsa saya kepotong dan habis , my xl the best deh pokoknyaÃ°Å¸Â¤â€”Ã°Å¸Â¤â€”Ã°Å¸Ëœâ€¡Ã°Å¸Ëœâ€¡"</t>
  </si>
  <si>
    <t>Xomar Tea</t>
  </si>
  <si>
    <t>"Ã°Å¸â€˜Â..... kalau bisa masa aktif kartunya di tingkatkan jadi lebih lama. terima kasih"</t>
  </si>
  <si>
    <t>Arsyal Danu Firmansyah</t>
  </si>
  <si>
    <t>"Aplikasi ini sangat bagusÃ°Å¸â„¢â€šMemberikan kuota dengan harga yg murah jadi saya bisa membeli nyaÃ°Å¸â„¢â€šKarna saya masih kelas 8 SMP jadi belom bisa cari duit sendiriÃ°Å¸Ëœâ‚¬Terima kasih myXL karna telah memberi pelayanan terbaik untuk penggunanya Ã°Å¸â„¢â€šÃ°Å¸â„¢ÂÃ°Å¸ÂÂ»"</t>
  </si>
  <si>
    <t>Irapurnomo Sasi</t>
  </si>
  <si>
    <t>"mantap xl, pertahakan performa bonusanya trus, agar pengguna xl semakin betah, dan yang belum bisa beralih"</t>
  </si>
  <si>
    <t>Abdul Majid</t>
  </si>
  <si>
    <t>"Jaringannya skrg butut, lancar2 pas jam 11 malam ampe jam 6 pagi doang. Pindah ke yg lain aja apa gmn ini hmm..."</t>
  </si>
  <si>
    <t>Joseph Khorniawan</t>
  </si>
  <si>
    <t>"selanjutnya jangan seperti kemarenÃ‚Â² 2minggu sekali di update mau isi ulang data harus di update dulu keseringan di update juga malas untuk membuka apl ini ."</t>
  </si>
  <si>
    <t>Muhammad Reyhan</t>
  </si>
  <si>
    <t>"XL sekarang jaringan nya aga lemot gitu, kuota nya masih banyak tp suka loading terus, knpa ya??"</t>
  </si>
  <si>
    <t>Mi 5Aselole</t>
  </si>
  <si>
    <t>"Percuma Paket Banyak Gak Bisa Dipakai,Makan Hati,Kesal,Buang2 Uang Saja,Mending Dipakai Sedekah Sekalian. Selalu Gangguan,lelet,lemot. Utk yg lain Semoga Jgn jd korban PHP XL. Iklan,Promo hanya BACOT.....!!!!"</t>
  </si>
  <si>
    <t>Inojo148</t>
  </si>
  <si>
    <t>"XL, gimana nih, saya sudah masukkan 16 digit angka di aplikasi untuk isi ulang, tapi tidak masuk, nyesel punya internet kayak gini!"</t>
  </si>
  <si>
    <t>Andri Black</t>
  </si>
  <si>
    <t>"Xl axiata memang mantap... Salah satu layanan terbaik,pulsa tidak berkurang walau kuota internet habis Terimakasih XL Terus berikan layanan terbaik mu"</t>
  </si>
  <si>
    <t>Setyo Panji Pratama X Tkj</t>
  </si>
  <si>
    <t>"Xl binatang!!! Masa sinyal pasti ganti h+ trus hilang mulu gimana mau main binatang!!! Provider gagal! Nyusahin orang aja mending tutup aja ngeselin sumpah binatang ini!"</t>
  </si>
  <si>
    <t>Jack _85</t>
  </si>
  <si>
    <t>"mantap harganya.kalau bisa tolong lah di tingkatkan lagi.karna XL kekuatan sinyalnya lemah betul. Kalah dengan telkomsel &amp; M3"</t>
  </si>
  <si>
    <t>Andy Nazry</t>
  </si>
  <si>
    <t>"Aku ngeluh di jaringan internet masih low di daerah saya malah kadang hilang.harga paketnya murah Semoga kedepannya jaringan 4G merata smpai pelosok biar bisa saingin tuh... Provaider sebelah yg harga paketnya selangit."</t>
  </si>
  <si>
    <t>Johny Halim</t>
  </si>
  <si>
    <t>"Xl prioritas jangan asyik sms ini itu ini itu suruh beli kuota ini itu ini itu....internet kalian macem kaleng kaleng kapan diperbaiki..udah berapa lama kalian beroperasi sama kalah ama layanan lain contoh first media.."</t>
  </si>
  <si>
    <t>Gm Mechanic</t>
  </si>
  <si>
    <t>"Jaringan XL di Denpasar dan Nusa penida ancur udah hampir 6 bulan ini gada perubahan kayak kehabisan kuota! Mengecewakan! Tolong dong bagi pihak yang berwenang kunjungi dan di perbaiki.. keburu pada ganti ke Telkomsel tuhh.."</t>
  </si>
  <si>
    <t>Aulia Nazzhuro</t>
  </si>
  <si>
    <t>"Selamat malam Min, Saya sudah beli paket combo plus 59rb 14gb 30 hari. Gimana caranya ya ngambil bonus kuota yuo tube 2gb Padahal sms notifikasi masuk mohon pencerahannya terima kasih."</t>
  </si>
  <si>
    <t>Aly Malyk</t>
  </si>
  <si>
    <t>"Kecepatan download sangat rendah padahal gue udah ubah pengaturan APN tapi tetap aja lemot saat mendownload, cek pakai aplikasi speedcheckpro memang koneksi XL untuk download sangat rendah. Apakah karena pihak XL lebih memprioritaskan kecepatan koneksi yg lebih bagus untuk layanan baru yaitu liveon? Gue tinggal didaerah elit Jakarta Selatan yaitu Kebayoran Baru, ternyata gak pengaruh tetap aja koneksi jaringan XL lebih jelek daripada operator lain."</t>
  </si>
  <si>
    <t>Dini Findiyani</t>
  </si>
  <si>
    <t>"Nah ini kouta mobile legends yg sia sia gak bisa buat maen rank atau klasik.. Kalo udah masuk baru ada pemberitahuan masalah jaringan.. Kalo gak bisa buat maen ngapain d adain paketnya.. 10gb 10rb tapi gak guna ngilangin kredit score aja.."</t>
  </si>
  <si>
    <t>Reo Taruna Perdana</t>
  </si>
  <si>
    <t>"Saya mau masuk ke aplikasi my xl kok gak bisa ya, udh dpt kode verifikasi tapi masih tidak bisa masuk sedang terjadi kesalahan terus"</t>
  </si>
  <si>
    <t>Nova Dsany</t>
  </si>
  <si>
    <t>"Sinyalnya parah... Masih mendingan axis internetan sangat stabil dan lancar.. Padahal unlimited tiap bulan bayar tagihan... Klo buat gamers gak cocok pakai ini.. Lemot.lola.loading"</t>
  </si>
  <si>
    <t>Ali Wafa</t>
  </si>
  <si>
    <t>"XL kenapa ya skrng udah 3 hari ini sinyal bapuk/jelek padahal udah beli yg VIP 70GB..selalu muter2 tuh sinyal..tolong di perbaiki dong.. klo gini mah auto ganti provider.."</t>
  </si>
  <si>
    <t>Mbelizz Cung</t>
  </si>
  <si>
    <t>"Ini gimana pihak XL, rencana mau top up via pulsa XL tibaÃ‚Â²setelah isi ulang pulsa berkurang sendiri, dah gabisa buat top up gegara kurang sedikit, awal 10000 jadi 9950, apa sebab nya XL tolong diperbaiki dong!!!"</t>
  </si>
  <si>
    <t>English Hadaya</t>
  </si>
  <si>
    <t>"Saya isi ulang untuk memperpanjang masa aktif. Dan sedang tidak pakai kuota. Tapi kenapa selalu berkurang pulsanya????????????"</t>
  </si>
  <si>
    <t>Rahman Sudiro Ambiantoro</t>
  </si>
  <si>
    <t>"kalau pihak myXL memang sudah membuat rogram tetap setiap paket data dengan besaran GB tertentu yg di tawarkan kepada konsumen, sebaiknya pihak myXL tidak lagi merubah atau mengutik-utik komitmen tersebut apapun alasannya, sehingga tidak merugikan bagi konsumen pd kondisi waktu tertentu. Misalnya konsumen membeli 2 GB untuk durasi pemutaran video Youtube, ya ketentuan itu harus di jalankan secara konsisten sesuai dengan jumlah paket data yg dibeli dan digunakan oleh konsumen dengan tuntas."</t>
  </si>
  <si>
    <t>Aris Prasetyo</t>
  </si>
  <si>
    <t>"Kl bisa paketan yg reguler bs 45 rb misalnya 13 Giga full unlimited tidak usah pakai bonus wa, youtube aplikasi sdh jadi satu pasti rame dan laris manis... Ini masukan saya sdh pakai XL sdh 25 tahun..... Krna XL paketan ya sering gonta ganti jd nggk kerasan pelanggannyaÃ°Å¸Ëœâ‚¬Ã°Å¸â„¢ÂÃ°Å¸â„¢Â"</t>
  </si>
  <si>
    <t>Irma Wati</t>
  </si>
  <si>
    <t>"Sudah download aplikasi xl tp gak bisa buka susah lama bgt kasih bintang 1 tolong buka dong"</t>
  </si>
  <si>
    <t>Evan Ritan</t>
  </si>
  <si>
    <t>"Sehabis hujan sinyal XL hilang hilangan ( khususnya di daerah Depok 2 ) apalagi qlo main game online &amp; buka sosial media..."</t>
  </si>
  <si>
    <t>Moena Muntux</t>
  </si>
  <si>
    <t>"saran aja untuk paketan yg di atas 100 gb seharusnya jangka waktu nya di bnyakin (2 bulan ) krena paketan q sering hngus dikarenakan masa aktif nya cmn 1 bulan sedih deh Ã°Å¸â€™â€Ã°Å¸â€™â€"</t>
  </si>
  <si>
    <t>Yeti Kusmayanti</t>
  </si>
  <si>
    <t>"Sinyal sering hilang , nelpon n terima telpon susah.dulu bagus, kenapa sekarang jelek ya??"</t>
  </si>
  <si>
    <t>Syafinna Rahmadhita</t>
  </si>
  <si>
    <t>"Sebenernya bagus, banyak bonus dan diskon pembelian kuota apalagi untuk pelajar. Tapi yang disayangkan adalah kadang keluar terus dari aplikasi sampai instal hapus instal hapus. Mohon kalau bisa, diperbaiki lagi aplikasinya. Terima kasih"</t>
  </si>
  <si>
    <t>Fanny Virgina</t>
  </si>
  <si>
    <t>"Susah buat masuk apk nya gak bisa" beda sama apk kartu lainnya gampang mudah ini selalu tulisan terjadi masalah padahal ya gak apa" sampek ganti kartu beberapa kali dikira karna kartunya ternyata apk nya aja yang susah buat masuk"</t>
  </si>
  <si>
    <t>Pinkan Andriani</t>
  </si>
  <si>
    <t>"tolong jaringan nya lebih di percepat lagi yaa kadang suka. lemot"</t>
  </si>
  <si>
    <t>Muchamad Rusli</t>
  </si>
  <si>
    <t>"Maaf sy ganti bintangnya karena XL menipu, waktu blm beli paketan ada promo paket akrab 125 rb untuk 3 akun, ketika sdh isi pulsa dan mau dipaketkan ajaibnya harga kembali ke harga normal 180rb hingga pulsa tidak cukup, benar benar merasa ditipu"</t>
  </si>
  <si>
    <t>Herry Juanda</t>
  </si>
  <si>
    <t>"Jaringan lemot .. Banyak fake khusunya paket data yg dipakai tidak sesuai dengan isinya"</t>
  </si>
  <si>
    <t>Riska Yanti</t>
  </si>
  <si>
    <t>"Xl kalo gk mau kasi diskon mending gk usah jangan nipu orang... Masa pas mau daftar kouta harganya dinaikin terus plis ya xl kalo gk mau kasih ya udah... Jagan nipu orang"</t>
  </si>
  <si>
    <t>Adjie Saxty</t>
  </si>
  <si>
    <t>"Banyak bonus di aplikasi myxl.. Kuota kejutan murah tiap hari.. Sangat suka menggunakan aplikasi ini."</t>
  </si>
  <si>
    <t>Kisah Pujangga</t>
  </si>
  <si>
    <t>"LINTAH PULSA ASW !!! ,PERCUMA ADA SETTING PENGONTROL PULSA TAPI MASIH NYEDOT PULSA ...KENAPA SELALU MEMPERPANJANG MASA PAKET KONT#L !!! PULSA SAYA HABIS GARA2 LUPA NON AKTIFKAN PAKET ,TIDAK SEPERTI KARTU LAIN GAK MEMPERPANJANG PAKET SENDIRI BELI SEKALI DOANG !!!"</t>
  </si>
  <si>
    <t>Letto Ponsel</t>
  </si>
  <si>
    <t>"Kerna jaringan saya sudah normal kembali jadi saya naikan lagi bintang nya , makasih myXL"</t>
  </si>
  <si>
    <t>Saaman Nofianto</t>
  </si>
  <si>
    <t>"Beli kartu perdana paket 28 gb kuota utama dan unlimited ( fb, ig, wa dll) Setelah paket kuota utama 28gb habis, sinyal unlimited (fb, ig, wa dll) sangat buruk sekali. Sayang2 beli kuota mahal2 jaringan nya H+ mulu, ada apa ini? Apakah mau bangkrut? Tolong komplain2 customer/pelanggang diperhatikan, agar nyaman, perbaiki sinyal nyanya. Permainan game gw terganggu ini woy, beli kuota mahal2 hasil nya buruk, parah!!!!!!!!!!!!, kacau Gue maen game nge lag mulu ini. Kapan bangkrut?????? Sinyal taiii"</t>
  </si>
  <si>
    <t>Indira Fadia</t>
  </si>
  <si>
    <t>"Aplikasi yg gak bermanfaat, nambah booster/kuota aja ribet. 2X kali nambah paket booster, sms udh berhasil tp kuota tdk masuk. Trus beli lg via shopee, saldo udh kepotong tp kuota gak masuk. Trus live chat nya lebih baik gk usah deh. Gak ada manfaat sama sekali. Sy chat di live chat malah bingung sendiri."</t>
  </si>
  <si>
    <t>Melati Putri</t>
  </si>
  <si>
    <t>"kadang kadang aplikasinya bisa dibuka kadang kadang tidak,tpi baguslah lebih bisa mudah melihat data dan pulsa lebih simpel"</t>
  </si>
  <si>
    <t>Maximilian Wijaya</t>
  </si>
  <si>
    <t>"Mohon dibaca!! Kartu saya sengaja gak di aktifkan paket datanya, dan indikator datanya pun saya matikan. karena di rumah menggunakan wi-fi. Tp kenapa setiap hari dapet sms dari XL. (XL) Pemakaian internet Anda hari ini dgn tarif Rp3/KB sudah lebih dari Rp2rb. Mau akses YouTube tanpa kuota?Beli Pkt Xtra Combo di *123# &amp; myXL. Info:817 Dan sy cek Saldo setiap hari, saldonya berkurang. Mohon penjelasannya. Terima kasih."</t>
  </si>
  <si>
    <t>Yusuf Afzainizam</t>
  </si>
  <si>
    <t>"Bangke,gua pikir lebih bagus sinyal nya dari tri gak tau nya lebih buruk.Ã°Å¸Ëœâ‚¬Ã°Å¸Ëœâ‚¬"</t>
  </si>
  <si>
    <t>Satrio Widodi</t>
  </si>
  <si>
    <t>"Tolong xl poin nya di tampilkan,dan beri fitur penukaran poin xl."</t>
  </si>
  <si>
    <t>Walid Alhasbi</t>
  </si>
  <si>
    <t>"Saya mau beli paket kuota di aplikasi, masa eror aktivasi Mulu. Padahal mau beli loh ini."</t>
  </si>
  <si>
    <t>Ipan Sutrisna</t>
  </si>
  <si>
    <t>"Terima kasih untuk paketannya yg selalu menemani saya, tapi kadang putus,,tolong ditingkatkan lagi ya untuk jaringannya tks"</t>
  </si>
  <si>
    <t>Kim Fatin</t>
  </si>
  <si>
    <t>"udah di update, lama loading nya, gak bisa ke buka pula aplikasinya..,, perbaiki dlu .. klo udah bagus nnti saya kasih 5 bintang. terimakasih."</t>
  </si>
  <si>
    <t>Ferdi</t>
  </si>
  <si>
    <t>"Kenapa XL makin hari makin jelek ya sinyalnya? Apknya juga setelah di update malah maintenance mulu??"</t>
  </si>
  <si>
    <t>Harni Ati</t>
  </si>
  <si>
    <t>"my XL benar benar sangat membantu, beli kuota,cek kuota jadi lebih mudah."</t>
  </si>
  <si>
    <t>Fiqri Maulana</t>
  </si>
  <si>
    <t>"Data offline, sms, telfon ga pernah tapi pulsa bisa habis?.... kenapa ini? Tulisannya "Pemakaian bla bla bal sudah mencapai sekian ribu" Data gua offline cuy gua make wifi ini, kok bisa begitu?"</t>
  </si>
  <si>
    <t>Bgxs Z</t>
  </si>
  <si>
    <t>"apk baik, cuma tolong di perbaiki kembali karena sering terjadi eror saat login my XL Ã¢â‚¬Â¢ Ã¢â‚¬Â¢ Sekian Terimakasih-!!"</t>
  </si>
  <si>
    <t>Rindu Order</t>
  </si>
  <si>
    <t>"Sudah lama pakai XL masih nomer 11digit,sama sekali belum pernah beli paket data.padahal XL ditempat saya sinyal bagus.dapat paket data kemarin waktu pandemi,bantuan paket dari mendikbud iseng-iseng daftar."</t>
  </si>
  <si>
    <t>Robbi Kuswara</t>
  </si>
  <si>
    <t>"Kenapa gak bisa beli paket vip nya ya, malahan pulsa saya dimakannya"</t>
  </si>
  <si>
    <t>Aris Alki</t>
  </si>
  <si>
    <t>"Ada promo kuota Akrab 33.000 terlanjur isi pulsa 10 + 25 yang totalnya bisa 40.000 ternyata si bgsd berubah 55.000.. anj bikin emosi"</t>
  </si>
  <si>
    <t>Dewi Finka</t>
  </si>
  <si>
    <t>"semoga bisa lebih baik dalam melayani konsumen ya my XL sukses selalu jaringan bisa diperluas"</t>
  </si>
  <si>
    <t>Latun Cubek</t>
  </si>
  <si>
    <t>"Alhamdulillah dengan aplikasi myxl ini sangat berguna dan bisa berkomunikasi dengan keluarga di kampung Ã°Å¸â€˜ÂÃ°Å¸â€˜ÂÃ°Å¸â€˜ÂÃ°Å¸â€˜Â"</t>
  </si>
  <si>
    <t>Andika Bagus</t>
  </si>
  <si>
    <t>"jadi gini, saya beli kuota XL untuk berjaga-jaga apabila ada kendala di wifi saya seperti misal listrik mati kan otomatis wifi juga ikut mati, lah ini listrik mati sinyal XL kok ikut ilang, kan konyol, sia-sia, tidak ada manfaatnya saya beli kuota XL. JMBOT"</t>
  </si>
  <si>
    <t>Farida Mae</t>
  </si>
  <si>
    <t>"Kenapa ya mau buka aplikasi XL nya aja lemot muter terus padahal mau cek kuotaÃ°Å¸Â¥Â´ udah beberapa hari begitu, kenapa ya??"</t>
  </si>
  <si>
    <t>Esti Ratnasari</t>
  </si>
  <si>
    <t>"Tingkatkan kestabilan bandwidth internet nya... Semoga jaringan sampai ke pelosok negeri. Terkadang di dataran tinggi atau pelosok sinyal menghilang."</t>
  </si>
  <si>
    <t>Nurulhidayati123 Hidayati</t>
  </si>
  <si>
    <t>"ini sih keren banget keluarga aku banyak sih pake xl ini wah keren pokok nya bagus lah"</t>
  </si>
  <si>
    <t>Erikaã¤Â½ÂÃ¨Â€”Â¤</t>
  </si>
  <si>
    <t>"saya mau tanya kerja XL emang gini apa gimana ya, saya punya pulsa tp emgga aktifin datanya. TibaÃ‚Â² pulsa saya kesedot banyak, apa memang begitu apa gimana ya?"</t>
  </si>
  <si>
    <t>The Thunder Z</t>
  </si>
  <si>
    <t>"Beberapa hari ini sinyal nya lemot banget, padahal bar sinyal nya penuh, mohon untuk segera di perbaiki"</t>
  </si>
  <si>
    <t>Mas Masan</t>
  </si>
  <si>
    <t>"ini app pembodohan... sebelum donlod ada iklan 59 rb dpt 10+10+kuota lokal. setelah donlod dicari2 ga ada...hebatlah tukang sulap.."</t>
  </si>
  <si>
    <t>Jupari Azzah</t>
  </si>
  <si>
    <t>"Kenapa pembayaran melalui BRI selalu susah,, kesalahan Virtual Accaunt,, kesalahan transaksi sebelumnya,,kode 135 ,, tolong dong perbaiki,,"</t>
  </si>
  <si>
    <t>Sur Yono</t>
  </si>
  <si>
    <t>"lebih ditingkatkan LG kualitas sinyal di pelosok pelosok biar makin banyak pengguna xl"</t>
  </si>
  <si>
    <t>Boink 87</t>
  </si>
  <si>
    <t>"Kembalikan pulsa saya...kuota masih banyak malah pulsa yg terpotong..."</t>
  </si>
  <si>
    <t>Firnanda Dani</t>
  </si>
  <si>
    <t>"Hallo pihak my XL, mohon maaf saya punya keluhan, jadi keluhannya mohon jikalau saya beli paket berupa voucher itu paketnya jangan dibagi bagi, mungkin kalau pembagianya ke paket internet 24 jam sih tidak masalah, akan tetapi ini itu paket malam apalagi yg di paket malam itu banyak yg kebagi kesitu, contoh saya beli 6GB 2 GB lokal 2GB dan 2GB malam nah ini nih seharusnya paket malam itu yg kebagi cuman 1GB saja jangan terlalu ya dan mohon maaf jikalau saya bersalah, mohon di tanggapi."</t>
  </si>
  <si>
    <t>John Wody</t>
  </si>
  <si>
    <t>"Ni Apk makin di update, makin berat &amp; susah untuk di buka."</t>
  </si>
  <si>
    <t>Tri Bibit</t>
  </si>
  <si>
    <t>"gooddd, memuaskan.. cuman jaringan sinyalnya perlu di perbaiki,.. masih ad trobel"nya"</t>
  </si>
  <si>
    <t>Ahmad Azizi</t>
  </si>
  <si>
    <t>"Kenapa xl makin kesini makin buruk aja dari signyalnya info paketanya,tolong signyal di wilayah semarang-batang-pekalongan di pertimbangkan lagi agar kami cukup puas terutama buat game kenapa sangat lelet si,signyal merah mulu jadi sia-sia beli paketan banyak tapi tidak bisa di gunakan.mari kita turunkan rate bintangnya biar tau apa kendala kita saat ini tetapi tidak ada perubahan sama sekali"</t>
  </si>
  <si>
    <t>Dody Kurniawan</t>
  </si>
  <si>
    <t>"Aplikasi buat maling kuota, fitur transfer kuota buat apa?, masuk ke aplikasi nama nya aryo sanjaya kan gblk"</t>
  </si>
  <si>
    <t>I Putu Agus Candra Ariawan</t>
  </si>
  <si>
    <t>"XL terkesan menipu para penggunanya Masa setiap ada promo di myXL sudah di kelik paket promo yang dipilih harganya tetep normal? Aneh"</t>
  </si>
  <si>
    <t>Navia A.</t>
  </si>
  <si>
    <t>"lebih praktis gak usah pusing ke habisan kuota !!!!!!!"</t>
  </si>
  <si>
    <t>Uci Sapi</t>
  </si>
  <si>
    <t>"Mending jangan pake aplikasi dah kalo nyusahin satu pengguna xl mah yg bener dong kalo bikin aplikasi hahahaha kalo bisa kata kata yg kasar gw ketik nih hahaaha"</t>
  </si>
  <si>
    <t>Miftakhul Huda</t>
  </si>
  <si>
    <t>"Saya coba masuk ke aplikasi my xl kok susah sekali udah puluhan x cobak masuk selalu sedang terjadi kesalaahan. Padahal baru beli paket,"</t>
  </si>
  <si>
    <t>Satya Irham Xii Ips 1 [33]</t>
  </si>
  <si>
    <t>"sering" adain promo bagi pengguna yg sering melakukan pengisian pulsa"</t>
  </si>
  <si>
    <t>Jihan Nabila</t>
  </si>
  <si>
    <t>"Kenapa ya kalau habis Kuota di atas jam 19.00 selalu ga bisa paketin data?? Sudah berkali2 seperti ini.mohon dibenahi kembali sistemnya"</t>
  </si>
  <si>
    <t>Tarjuki Tardi</t>
  </si>
  <si>
    <t>"sumpah abis update. malah sinyalnya bobrok. kagak padahal bar penuh. itu gimna dah."</t>
  </si>
  <si>
    <t>Aldi Nurpuadi</t>
  </si>
  <si>
    <t>"Tolong jaringan nya diperbaiki lagi...dulu XL bagus untuk browsing, gaming, streaming , sekarang di pake gaming nge lag mulu....jadi males beli/pake kartu XL lagi"</t>
  </si>
  <si>
    <t>Surya Gading</t>
  </si>
  <si>
    <t>"makin sini makin lemot, parah si kalo emang ga niat benerin mending gausa nyediain layanan internet. Dah seminggu lemot, padahal 4G bar nya pun full. Kecewa parah."</t>
  </si>
  <si>
    <t>08_Muhamad Muki Mudin</t>
  </si>
  <si>
    <t>"semoga xl memberikan reward untuk pelanggan dan gratisan kuota yang melimpah"</t>
  </si>
  <si>
    <t>Martino Putranto</t>
  </si>
  <si>
    <t>"Saya harap myXL ada fitur kunci pulsa seperti di aplikasi Axisnet jdi pulsa tetap aman tdk trpotong otomatis ketika kuota habis tpi data nyala."</t>
  </si>
  <si>
    <t>Donni Ardiandra</t>
  </si>
  <si>
    <t>"Sinyalnya serasa gak ada kuota dan Bagusnya cuma sore sinyalnya Tolong bisa diperbaiki Nanti aku kasih bintang 5"</t>
  </si>
  <si>
    <t>Ahmad Syarifuddin</t>
  </si>
  <si>
    <t>"Assalamualaikum, selamat malam admin. Kemarin aku beli paket internet 9 GB harga 20k pulsa nya hilang tapi paketanya tidak masuk. Itu kenapa?"</t>
  </si>
  <si>
    <t>Ã˜Â§Ã˜Â¨Ã˜Â¯Ã˜Â§Ã™Â€Žã˜Â±Ã˜Â­Ã™Â€¦</t>
  </si>
  <si>
    <t>"Tolong sinyal XL y diperkuat.. Daerah Karangmalang Karangsembung...sinyal ga stabil.. Mau banyak pelanggan, tolong sinyal yang kuat dan paket data yg murah.."</t>
  </si>
  <si>
    <t>Nur Fitriani</t>
  </si>
  <si>
    <t>"ini knp si dari kmarin sinyal nya gjls pdhl full sinya,paket juga ada masa hrus mode pswat matiin data idupin lgi, sinyal nya gjls lama"bikin ribet klo lgi ada penting gbisa dipke"</t>
  </si>
  <si>
    <t>Idwan Adiyantoro</t>
  </si>
  <si>
    <t>"Parah sinyalnya,, lelet banget. padahal full sinyal full, tp lemot parah."</t>
  </si>
  <si>
    <t>Nub Gaming</t>
  </si>
  <si>
    <t>"Sangat bagus dan mantap .. tapi buat main game CODM tidak cocok .."</t>
  </si>
  <si>
    <t>Ojandsquad Ny</t>
  </si>
  <si>
    <t>"Semakin kesini smakin gila,,unlimited yutub kok udah ga ada ya,,abis paket ini q buang nih xl ganti telkomsel aj lagiÃ°Å¸â€˜Å½Ã°Å¸â€˜Å½Ã°Å¸â€˜Å½Ã°Å¸â€˜Å½Ã°Å¸â€˜Å½Ã°Å¸â€˜Å½Ã°Å¸â€˜Å½Ã°Å¸â€˜Å½Ã°Å¸â€˜Å½Ã°Å¸â€˜Å½"</t>
  </si>
  <si>
    <t>Hadi Iqram</t>
  </si>
  <si>
    <t>"Gue kasih bintang 5 agar jaringan gue gak hilang hilang mulu kalo masih hilang hilang gue kasih bintang 1"</t>
  </si>
  <si>
    <t>Alifah Nh</t>
  </si>
  <si>
    <t>"Jaringan sangat buruk. Kuota dan pulsa bisa hilang begitu saja. Komplain sana sini gk ada jawaban. Ada gk sih yg bintang nya kurang dari 1. Ngasih 1 bintang aja kaya susah banget. Busuk bener xl"</t>
  </si>
  <si>
    <t>Tpg Channel</t>
  </si>
  <si>
    <t>"Xl.sekarang sinyalnya buruk.beli paket mahal mahal.tapi dapat sinyal kualitas buruk.apa lagi kalo udah mau menjelang malam."</t>
  </si>
  <si>
    <t>Nendi Hasim</t>
  </si>
  <si>
    <t>"Baru update apk my XL pas di buka ada fitur baru yang worth it. Mantep deh ni apk, buat bug ga ketemu lagi sih moga XL bisa jadi lebih baik lagi"</t>
  </si>
  <si>
    <t>Syauqi Berbakti</t>
  </si>
  <si>
    <t>"Paket Unlimited XL itamanya pasca bayar yang berbasis FUP bisa dikatakan sebagai Paket Pemanis belaka. Krn pd saat FUP 0 kecepatan 95% turun. Ã°Å¸Â¤â€ Kebijakan menahan kartu pasca bayar dan tidak dapat migrasi ke pra bayar merupakan kebijakan tidak pro pelanggan. Sinyal sering kali down tiba-tiba, pd saat komplen ngasih saran basa basi disuruh restart, matikan HP, dll. Padahal yg bermasalah BTS-nya. Ã°Å¸â„¢Ë†Ã°Å¸Ëœâ€ž"</t>
  </si>
  <si>
    <t>Eko Dwi</t>
  </si>
  <si>
    <t>"Xl semakin gak jelas, Ngasih bonus juga gak jelas,bonus belom dipake hilang, Sinyal juga buruk, Apa kah ada hek, Kalo ada fitur xl keamanan nya di perbarui biar tidak merugikan pelangan xl,"</t>
  </si>
  <si>
    <t>Rudi Hermawan</t>
  </si>
  <si>
    <t>"Walaupun sudah LTE tetep aja lemot untuk wilayah Kalimantan Selatan tanah bumbu Angsana gak stabil Jauh dari harapan"</t>
  </si>
  <si>
    <t>Bos Koplak</t>
  </si>
  <si>
    <t>"mantul... sangat membantu dengan harga yg irit di kantong..Ã°Å¸Â¤â„¢"</t>
  </si>
  <si>
    <t>Suhodo Maksum</t>
  </si>
  <si>
    <t>"di sukahati,citeureup bogor,sinyalnya lemah,tolong pelayanannya di tingkatkan."</t>
  </si>
  <si>
    <t>Aa Roby</t>
  </si>
  <si>
    <t>"saya sangat puas dengan pelayanan xl selain jaringan cepat dan tidak lelet kerjaan saya jadi lancar"</t>
  </si>
  <si>
    <t>Maulana Saidih</t>
  </si>
  <si>
    <t>"tolong donk jaringan XL didaerah kedung pengawas kab.bekasi ditingkatkan lagi, masa tiap hujan dikit susah banget buat online..sebelum musim hujan sii ok jaringannya. klo udh ok ditambahin lagi bintangnya"</t>
  </si>
  <si>
    <t>M_3Jyby Prdsakuradefwang</t>
  </si>
  <si>
    <t>"Parah, XL sekarang parah benerrr.. masa iya aplksinya susah banget di buka, mana keluar mulu lagi ngeselin parah. Terlalu berat bebannya nih kayaknya, katanya prioritas tapi malah dibikin emosi mulu, apanya yg prioritas cobaÃ°Å¸ËœÂ¬Ã°Å¸ËœÂ¬ belom lagi kendala sinyal yang sekrang lemotnya masya Allah, padahal tower XL samping rumah loh, kok bisa sinyal XL gk bagus bener" beda dari yang dlu. Pokoknya XL kalau bisa lebih amanah laginya, aplikasinya juga diringankan dong jangan berat" susah banget dah bukanya."</t>
  </si>
  <si>
    <t>Umratil Umratil</t>
  </si>
  <si>
    <t>"sangat senang memakai apk ini ,banyak sekali promo dan murah"</t>
  </si>
  <si>
    <t>Yahya Rusdiansyah</t>
  </si>
  <si>
    <t>"Skrng gk pernah beli paket data xl, dimana mana skrng lemot sinyal nya parah, ini beli paket nelpon cuma biar gk hangus aja nih nomor.."</t>
  </si>
  <si>
    <t>Techno Game12</t>
  </si>
  <si>
    <t>"Aplikasi berat sering lag beda sama axisnet yang enteng kalo gak berat lagi gw tambahin bintangnya"</t>
  </si>
  <si>
    <t>Bukan Siapa2</t>
  </si>
  <si>
    <t>"Jelek parah penanganan keluhan chat live melalui my xl, super lemot, jawabannya mengulang ulang, disuruh menunggu bolak balik, menunggu 1x 2x mungkin gk masalah, lha ini berulang kali, jelek parah pelayanannya, beli paket extra combo vip plus, bonusnya gak sesuai, ini sama saja PENIPUAN.!!!!!!"</t>
  </si>
  <si>
    <t>Novi Setiani</t>
  </si>
  <si>
    <t>"Knp didownload ..di upgrade msh tidak bisa masuk k halaman layar hp.. Kl maw cek kuota masuk playstore dl cari my xl.."</t>
  </si>
  <si>
    <t>Moch Firmansyah</t>
  </si>
  <si>
    <t>"Buka myxl susah sekali,harus pakai wifi operator lain baru bisa dibuka. Padahal aplikasi lancarÃ‚Â² aja"</t>
  </si>
  <si>
    <t>Mata Ayip Peli Uyip</t>
  </si>
  <si>
    <t>"Hujan ngeleg, gerimis ngeleg, najis bener sumpah, padahal XL udh dari dulu jaman GPRS, 3G, tpi sekarang 4G berasa 3G, monyet bener ccuuuiiihhh"</t>
  </si>
  <si>
    <t>Utie Alief</t>
  </si>
  <si>
    <t>"sinyalnya sering susah,,tolong donk di perbaiki lbih baik lg,,trimakasiih"</t>
  </si>
  <si>
    <t>Ilham Firdaus</t>
  </si>
  <si>
    <t>"Internet klo lagi gak bisa lamanya berjam-jam. Fitur Live Chat nya gak bisa digunakan. Telp ke CS pun sibuk terus. Mao berhenti langganan mesti nunggu 1thn dulu. Ã°Å¸Â¥Â´"</t>
  </si>
  <si>
    <t>Tian Subastian</t>
  </si>
  <si>
    <t>"Sekarang jadi agak mendingan soal jaringan tapi muncul lagi masalah apknya keseringan update"</t>
  </si>
  <si>
    <t>Muhammad Akbar</t>
  </si>
  <si>
    <t>"Xl klok memberi masa aktif nya kalah ama telkomsel lagi pula telkomsel lebih banyak lagi promo nya dari xl saya harap xl bisa memberikan lebih Terima kasihÃ°Å¸ËœÂ"</t>
  </si>
  <si>
    <t>Raja Queen Putri</t>
  </si>
  <si>
    <t>"Ã¢Â­Â 4 dulu, kalau diskon kuota nya konsisten nanti saya kasih Ã¢Â­Â 5. Terimakasih myXL"</t>
  </si>
  <si>
    <t>A Hardian</t>
  </si>
  <si>
    <t>"Terimakasih myXL baik banget sama penggunanya sampai kasih bonus Ã°Å¸ËœÂ­ Saya juga merasa aman jika memakai XL, tidak seperti provider yg lain lagi lagi browsing bentar malah kena SMS langganan, oh iya buat kalian yg beli paket tapi dapet sedikit please baca keterangan paket yg mau kamu beli ( Indonesia darurat membaca ) semoga XL semakin di depan."</t>
  </si>
  <si>
    <t>Prasetia15</t>
  </si>
  <si>
    <t>"Ã°Å¸â€˜ÂÃ°Å¸â€˜ÂÃ°Å¸â€˜ÂÃ°Å¸â€˜ÂÃ°Å¸â€˜Â saya sangat rekomendasi sekali bagi kalian kaum boke yang ingin Kouta besar pake XL soal nya setiap pake XL kalian pasti menang promo rekomendasi banget lah pokonya untuk sinyal di desa Ku lumaya cepat bisa sampai 10mb perdetik kalo nge download"</t>
  </si>
  <si>
    <t>Akbar Fadillah</t>
  </si>
  <si>
    <t>"Saya merasa kecewa dengan xl. Sudah berapa kali ada diskon dan saya ingin membeli dengan pulsa tapi, ketika ingin membeli pulsa diskonya ilang. Sangat merugikan"</t>
  </si>
  <si>
    <t>Irwan Ramadhan</t>
  </si>
  <si>
    <t>"semua mudah di lakukan dengan aplikasi ini banyak membantu jika mau pilih paket data dan banyak bonusnya..."</t>
  </si>
  <si>
    <t>Hanes Huang</t>
  </si>
  <si>
    <t>"Buruk sekali pelayanan XL pertanyaan tidak terjawab.. Hanya mesin penjawab yang ngobrol dengan kita.. Telpon cs 817 diputus total tapi pelayanan chat buruk hanya mesin mesin penjawab yg menerima.."</t>
  </si>
  <si>
    <t>Rudi Harles Simanjuntak</t>
  </si>
  <si>
    <t>"Tooong dong, dibenahi. Jaringan aplikasi ini . Hampir 1 jam gak selesai2 bisa buka aplikasi xl ini. Sial...."</t>
  </si>
  <si>
    <t>Yudi Bduy</t>
  </si>
  <si>
    <t>"Pulsa saya terus di potong saat isi ulang... Padahal data saya nga di nyalain"</t>
  </si>
  <si>
    <t>Edward Kilat</t>
  </si>
  <si>
    <t>"Jaringan XL di pabuaran bojonggede, bogor payah saat mau donlot myxl dari playstore malah muter2 alias loding..gmn mau kasih bintang 5 ke mbak maya...jaringan xl mhn agar diperbaiki lagi..kalo mau dijawab keluhan pelanggan jgn pake sistem atau mesin robot"</t>
  </si>
  <si>
    <t>Fahim Ibnu Malik</t>
  </si>
  <si>
    <t>"Saya pengguna sejak dari dulu tapi kenapa akhir" ini jaringan sering eror. Kecewa juga akhirnya"</t>
  </si>
  <si>
    <t>Nadia Aulia</t>
  </si>
  <si>
    <t>"Lag mulu buat main game onnline malah ke restart mulu, lemot klo loading lama, klo hujan jg tambah parah jadi gak mood buat make hp, tolong di atasi supaya lebih baik, hp saya kasian saya banting mulu"</t>
  </si>
  <si>
    <t>Imameira Enha</t>
  </si>
  <si>
    <t>"XL lebih memudahkan dalam berkomunikasi cepat praktis serta efisien dan terjangkau, semoga XL lebih maju lagi mengikuti perkembangan jaman dan lebih memudahkan dalam berkomunikasi antar pengguna, Terima kasih XL you are always the best"</t>
  </si>
  <si>
    <t>Danang Hadi</t>
  </si>
  <si>
    <t>"sinyal internet makin lama makin busuk bukanya bagus, telepon CS jg percuma ujung"nya cuma di suruh matiin hp doang, kalo tau kaya gini mendingan pindah ke telkomsel"</t>
  </si>
  <si>
    <t>Jenang Gempung</t>
  </si>
  <si>
    <t>"MAIN SEMUA GAME ONLINE LAG, PAYAH PAYAH PAYAH !!!! Halo XL mau bangkrut kah ? Sinyal gak stabil bikin lose streak ****** !!! Pdhal sya pemakai krtu XL lumayan lama,tapi lama klamaan ngcewain cok."</t>
  </si>
  <si>
    <t>Agus Supriyadi</t>
  </si>
  <si>
    <t>"banyak diskon nya, MKS XL kuota untuk belajar daring anak saya.jangan pernah lelah memberikan diskon, supaya di masa pandemi ini ortu bisa membelikan kuota yang ramah dikantong..."</t>
  </si>
  <si>
    <t>Yeni Nuraeni</t>
  </si>
  <si>
    <t>"Sinyal xl,makin ke sini makin buruk. Trimakasih sekarang sudah bagus lagi sinyalnya walaupun ujan tetap lancar"</t>
  </si>
  <si>
    <t>Isna Imroatul Mufidah</t>
  </si>
  <si>
    <t>"aplikasi yang cukup membantu dan cepat dalam menanggapi permasalahan yang dihadapi pengguna"</t>
  </si>
  <si>
    <t>Alfian Fadli</t>
  </si>
  <si>
    <t>"klw bisa,untuk melakukan transaksi bisa dengan BCA virtual account..juga ..."</t>
  </si>
  <si>
    <t>Lukman Andriyansyah</t>
  </si>
  <si>
    <t>"XL JELEK BUANGET padahal udh d kontrol pulsa masih aja bisaÃ‚Â² y pulsa saya d sedot padahal gak pernah minjem pulsa fix ganti kartu dan Yunistal"</t>
  </si>
  <si>
    <t>Chix Zhu</t>
  </si>
  <si>
    <t>"jaringan internet semakin busuk.!!! sinyal 4g tapi gak bisa dipake, apalagi 3g.!!djancok.!!! mendingan pindah ke operator lain.!!"</t>
  </si>
  <si>
    <t>Indra Iskandar</t>
  </si>
  <si>
    <t>"lebih hemat,tapi saran kalau bisa kalau masih ada kuota seharusnya tidak hangus hehehe tx"</t>
  </si>
  <si>
    <t>Rado Arian</t>
  </si>
  <si>
    <t>"Bisa cek kuota dgn simpel terbaikkkkkkkkkkkk!!!!!!!!!!!!!!!!!!!!!!!!!!!!!!!!!!!!!!!!!!!!!!!!!!!!!!!!!!!!!!!!!!!!!!!!!"</t>
  </si>
  <si>
    <t>Nurul Ulya</t>
  </si>
  <si>
    <t>"Tolong ya, toloooong banget Ã°Å¸â„¢Â perbaiki masalah sinyal. Perluas lagi jangkauan 4G LTE nya. Ini susah banget di pakenya, padahal udah di restart juga masih lemot. Mohon dengan sangatÃ°Å¸â„¢ÂAku mendukung banget XL kok."</t>
  </si>
  <si>
    <t>Didik Syamsudin</t>
  </si>
  <si>
    <t>"pulsa sisa paketan selalu berkurang dan selalu ada SMS ga jelas yg nyedot pls biasa.."</t>
  </si>
  <si>
    <t>Rusmiati Istriq</t>
  </si>
  <si>
    <t>"Untuk aplikasi ini sangat bermanfaat. Sebab awake dewe iso tau piro2nya paketan yang iseh ono,, dadine g angel2 untuk mengecek paketan. Hanya mlebu ke palikasi lalu cek paketan awake dw. Simple kok. Masalah jaringan. Nak ning daerahmu jelek ya tanyao sama temen2mu apa tetanggamu pake kartu apa bagaimana signalnya. Klo ndek daerah saya signale ngaceng trus e. Jadinya uwenak"</t>
  </si>
  <si>
    <t>Juanda Rohman</t>
  </si>
  <si>
    <t>"Aplikasi nya buruk tidak bisa di buka pas kuota abis. Sama pelayanan live chat nya ancur ga pernah di respon cs"</t>
  </si>
  <si>
    <t>Abdi Mentos</t>
  </si>
  <si>
    <t>"Selamat siang min, hanya cuman mau kasih info, tolong buat daerah belawan, canang dan sekitarnya knapa setiap siang dan tengah malam sinyal XL tidak ada min Sekian info, Terima kasih"</t>
  </si>
  <si>
    <t>Yanti Ramelan</t>
  </si>
  <si>
    <t>"semoga lebih banyak pilihan paket ekonomis spt competitor agar bs lebih hemat."</t>
  </si>
  <si>
    <t>Habib Burrahman</t>
  </si>
  <si>
    <t>"lumayan bagus apk nya, tapi lebih bagus lagi kalau kita bisa beli paket gaming atau lainnya tanpa harus ada pake reguler"</t>
  </si>
  <si>
    <t>Risqi Cf</t>
  </si>
  <si>
    <t>"Plis lah sinya perbaiki!gw maen ml gabisa" wa pending,jangan promo Mulu tpi sinyal Mash gitu" aja!"</t>
  </si>
  <si>
    <t>Davis Unitedarmy</t>
  </si>
  <si>
    <t>"Sedag terjadi masalah terus kalau mau buka aplikasi myXl padahal udah update"</t>
  </si>
  <si>
    <t>Deyu Prakorso</t>
  </si>
  <si>
    <t>"Setiap mau ambil bonus kuota setelah isi pulsa di link selalu gagal..jadi percuma itu bonus ga kepake"</t>
  </si>
  <si>
    <t>Nabilla Rizkia Ranati</t>
  </si>
  <si>
    <t>"bonus nya ga tentu, kalo mau komplen maya kurang puas dalam membahas keluhan kita,krn maya hanya sistem,kako bs kita tuh langsung hub dengan cs SDM nya"</t>
  </si>
  <si>
    <t>Jeni Jaenudin</t>
  </si>
  <si>
    <t>"tingkatkan terus kualitas kuota nya . harga murah dapetnya gede . itu pelanggan yg pengen Ã°Å¸Â¤Â²Ã°Å¸â„¢ÂÃ°Å¸â€˜Å’"</t>
  </si>
  <si>
    <t>Nurul Aini</t>
  </si>
  <si>
    <t>"Kenapa nomer saya tidak terdaftar pada jaringan padahal nomer saya sering perpanjang masa .. tapi mau live chat di xl care kalah antrian rumah sakit ."</t>
  </si>
  <si>
    <t>Ahmad Azizi Zs</t>
  </si>
  <si>
    <t>"Terlalu tipis buat jarak masa aktif, ketika melakukan pengisian ulang pulsa, dikira yang makek pada mampu doang mungkin, emang jaman sudah andorit, tapi belum tentu semua orang makek androit..."</t>
  </si>
  <si>
    <t>Arif Aditama</t>
  </si>
  <si>
    <t>"Gini ye,pas ujan sinyal nya kok jelek bet yak,perasaan biasanya b aja,trs kalo nanggepin komentar setiap pengguna ngga usah disamain lah,klo di samain kek gini rasanya ngga lu baca,kaya lu diemin doang,bng."</t>
  </si>
  <si>
    <t>Adi Suryadi</t>
  </si>
  <si>
    <t>"Kartu gk jelas jaringan makin sini makin lemah bukan nya makin lama makin bagus ini makin buruk"</t>
  </si>
  <si>
    <t>Kismatil Ummah</t>
  </si>
  <si>
    <t>"untuk pilihan paket bervariasi sangat suka, sinyal juga oke... kekurangan nya cuma 1, ngga tau ini bisa dibilang kekurangan atau gimana, cuman pas padam listrik, sinyal ikut padam... hilang sama sekali sinyalnya"</t>
  </si>
  <si>
    <t>Budi Asep</t>
  </si>
  <si>
    <t>"Ini kekecewaan yg ke dua kali... Nyesel saya bli kartu perdana nya lagi. Pertama saya bli xl sekitar tahun 2007 2008 sampe 2013. Habis itu ganti tri sampe skarang. 2021 coba bli perdana xl buat istri tapi kuotanya borosnya bukan main. Pdhl kekuatan sinyal sama aja."</t>
  </si>
  <si>
    <t>Boyak Cell12</t>
  </si>
  <si>
    <t>"Kalau bisa bikin aplikasi yg versi lite Biar yg pake hp android versi lama bisa di buka . . Tolong di perhatikan juga kami para pengguna hp android jadul"</t>
  </si>
  <si>
    <t>Hendra Wanto</t>
  </si>
  <si>
    <t>"bagus sekali, tapi kalau cuaca buruk sinyal nya hilang, tolong perbaiki lagi"</t>
  </si>
  <si>
    <t>Hilman Rafi</t>
  </si>
  <si>
    <t>"Mending di hapus aja yg namanya unlimited ("turbo") Lelet parah :) , dulu pertama kali pakai XL di daerah saya ngebut, sekarang malah LELET parah, harus ke lantai 2 baru bisa sosmed lancar. Otw cari provider lain yang cocok di daerah saya terimakasih"</t>
  </si>
  <si>
    <t>Rahmat Eko Saputra</t>
  </si>
  <si>
    <t>"Pelayanan *123# sangat buruk tidak sesuai, masa pulsa sudah di beli saat pengaktifan paket malah gak bisa, udh 3 x ngalamin kaya gini, kapok pake XL"</t>
  </si>
  <si>
    <t>Ahmad Fendi</t>
  </si>
  <si>
    <t>"trima kasih my xl udah Versi 5.5.10 semoga ke depan nya lebih nyaman nan sukses Slalu."</t>
  </si>
  <si>
    <t>Moch Irfan</t>
  </si>
  <si>
    <t>"Udah 2 bulanan di daerah saya sinyalnya suka gak stabil udah di restart harusnya mantap malah balik lagi ke xl care cuma suruh mode pesawat sama restart. Udah gak tau lagi ini xl kenapa jadi sulit sinyalnya Padahal sebelumnya baik baik aja tu sinyal YUK XL PERBAIKILAH MASALAH SINYAL MU ITU"</t>
  </si>
  <si>
    <t>Winston Morris</t>
  </si>
  <si>
    <t>"Kenapa makin ribet buat beli kouta, xtra combo mini malah gk ada ilang ntah kmna, malah disuruh beli yg VIP pdahal tertera reguler malah di bawa ke combo plus vip"</t>
  </si>
  <si>
    <t>Julio Andy</t>
  </si>
  <si>
    <t>"aplikasinya udah bagus mnurut saya g ad yg aneh tpi knapa y xl pake main game Battle royalle jaringan nya nga stabil sering reconnect"</t>
  </si>
  <si>
    <t>Fhina Princess</t>
  </si>
  <si>
    <t>"untuk sekarang XL sudah lebih dari cukup, tapi alangkah baiknya kedepan nya di kembangkan lagi untuk fitur bonus buat para gamers.... mantapÃ°Å¸Â¤ËœÃ°Å¸Â¤Ëœ"</t>
  </si>
  <si>
    <t>Danny Oktariyanto</t>
  </si>
  <si>
    <t>"ini sudah bagus tolong di perbagus lagi supaya pemakai XL lainnya puas dalam pelayan aplikasi ini"</t>
  </si>
  <si>
    <t>Chavin Gaming</t>
  </si>
  <si>
    <t>"Ayo lah ini kok sinyalnya hilang datang hilang datang ya, in udh 3 kali hilang hari ini"</t>
  </si>
  <si>
    <t>Muhammad Hermawan</t>
  </si>
  <si>
    <t>"Xl knapa sinyal nya dah 3 hari ke blakang sinyal nya jelek .tolong di perbaiki agar kami pengguna xl nyaman. Benerin ya sinyal nya agar bagus lagi ."</t>
  </si>
  <si>
    <t>Mang Oji</t>
  </si>
  <si>
    <t>"Secara keseluriban sinyal bagus.. harga promo luar biasa tapi saya tidak mengerti tiba" hilang.. harga kompetitif seimbang dengan kualitasnya..Ã°Å¸â€˜Â"</t>
  </si>
  <si>
    <t>Budi Ari</t>
  </si>
  <si>
    <t>"Tambah jaringan lg bos.. Biyar semakin lancar area jateng,. Harga paketan masih mahal bos"</t>
  </si>
  <si>
    <t>Carel Cbr</t>
  </si>
  <si>
    <t>"sinyal XL sudah mulai bagus di wilayah Bangka tengah provinsi kepulauan Bangka Belitung,, pertahankan,, mantaaaaap,,sangat recommended"</t>
  </si>
  <si>
    <t>Dearlife</t>
  </si>
  <si>
    <t>"Nunggu agent sampai 1,5jam cuma disuruh nunggu terus. Kecewa sama XL. Pulsa kepotong tiap hari padahal data seluler off. Isi pulsa buat urgent malah dipotong setiap hari. Kecewa"</t>
  </si>
  <si>
    <t>Aditya Galih</t>
  </si>
  <si>
    <t>"Apk nya sih bagus.. Tapi kenapa JARINGAN DI DAERAH SOLO SERING BANGET GANGGUAN. Mohon segera di perbaiki dong.."</t>
  </si>
  <si>
    <t>Khalfani Dewa Haryaka</t>
  </si>
  <si>
    <t>"jaringan nya kurang bagus ... tolong d perbaiki ya terimakasih"</t>
  </si>
  <si>
    <t>Sabituddin Bigbang</t>
  </si>
  <si>
    <t>"Masa beli 2 kali masuknya sekali dengan paket yang sama(Paket Xtra 10GB kuota utama + Youtube 20GB). Awalnya beli di ovo...karena "sedang diproses"nya lama, lalu beli paket yg sama lagi di tokped langsung masuk. Tak lama kemudian saya cek yang di ovo ternyata udah berhasil juga. Namun ketika cek di aplikasi, hanya masuk 1 paketnya...cuma dapet 10GB kuota utama. Ga ada palet akumulasinya ... terus apps-nya lemot harus pake mode game booster di samsung A51."</t>
  </si>
  <si>
    <t>Syaiful Bahri</t>
  </si>
  <si>
    <t>"Setelah update app tidak bisa dibuka, sdh uninstal dan instal lagi tetap sama tidak bisa di buka, gmn ini ?????"</t>
  </si>
  <si>
    <t>Juliano Hardian</t>
  </si>
  <si>
    <t>"Aplikasi terputus dan keluar ketika setelah memasukan kode OTP. Bahkan setelah di reinstall."</t>
  </si>
  <si>
    <t>Rizal Ar</t>
  </si>
  <si>
    <t>"Saran Donk Pembayaran Isi Pulsa Nya Akulaku. Bila Ada Pembayaran Akulaku Baru Bintang 5 Ã°Å¸ËœÂ"</t>
  </si>
  <si>
    <t>Imassaadah</t>
  </si>
  <si>
    <t>"Ni aplikasi knapa si,, kadang seneng pake myxl, kadang emosiii banget, kuota ada, jaringan lancar, tapi masih aja "coba lagi" kek lagi main gosok ale alee tau,, giliran lagi butuh bgt malah kaya gini _-"</t>
  </si>
  <si>
    <t>Ima Maghfiroh</t>
  </si>
  <si>
    <t>"Tolong dong sinyalnya diperbaiki lagi buat wa aja susah apalagi buat game"</t>
  </si>
  <si>
    <t>Re Arhio Channel</t>
  </si>
  <si>
    <t>"Terimakasih, maaf bintang saya kurangi akhir akhir ini haaaanccurr jaringan ditempat saya, hujan dikit udah kacau tu jaringan ... Banyak pelanggan yg kecewa kalau begini. Mohon dibenerin , untuk teknisi nya"</t>
  </si>
  <si>
    <t>Kha Official</t>
  </si>
  <si>
    <t>"Pulsa gua ko bisa ngurang? Padahal udh ada paket data!! Saya sangat benarÃ‚Â² kcewa dan menyesal telah menggunakan XL!!!"</t>
  </si>
  <si>
    <t>Loys Terate</t>
  </si>
  <si>
    <t>"Semoga di Lembata,NTT signalnya dikuatkan lagi,towernya bertambah lagi masih beberapa daerah yang susah internet.sudah 4G tapi loadingnya agak lambat bahkan lama.tingkatkan terus signal internet nya Ã°Å¸â€˜Â"</t>
  </si>
  <si>
    <t>Naori Uchiha</t>
  </si>
  <si>
    <t>"Terima Kasih Banyak Aplikasi XL Dikarenakan Udah Menambakan FiturÃ‚Â² Bagus, Dan Saya Senang Bisa Mendapatkan Point Bonus Buat Nanti Ditukarkan, Dan Saya Juga Mempercayai Aplikasi XL Ini Dikarenakan Saya Suka Isi Paketan Disini Suka Isi Top-up Game Juga Disini Sukses Selalu Aplikasi XL :")"</t>
  </si>
  <si>
    <t>Surya Junaedi</t>
  </si>
  <si>
    <t>"Kenapa setiap isi pulsa sisa beli paket pulsa tiba2 hilang padahal tidak ada pemakaian sms atau dll kaya lintah darat sue lumayan kan sisa 6rb pulsa"</t>
  </si>
  <si>
    <t>Pipin24 Zaen24</t>
  </si>
  <si>
    <t>"Apk konyol aku beli paket data masih sisa 800 mb youtube.. aku isi lagi 4 gb baru yang lama malah ilang.. tolong lah ini merugikan pihak enguna xl... Kalo gini trus saya bisa pindah kekartu yang lain... Dan pasti habis ini disuruh hubungin myxl caredi padahal cuma dibaca doang kan... SAYA SANGAT KECEWA..."</t>
  </si>
  <si>
    <t>Gdent Gallery</t>
  </si>
  <si>
    <t>"saya pengguna xl prioritas 3 tahun lebih kecewa, karena penagihan berulang-ulang dan membengkak tidak sewajarnya. aplikasi live chat tidak ada respon. mohon lebih memperhatikan customer"</t>
  </si>
  <si>
    <t>Brewew Lah</t>
  </si>
  <si>
    <t>"XL sekarang Luar biasa lemot nya, udah 3 hari ngga bisa buka apa apa padahal kuota baru beli/masih banyak , Berulang kali restart hp/mode airplan tetap aja lemott keselll Kalau gini terus auto pindah operator!!"</t>
  </si>
  <si>
    <t>Dadan R</t>
  </si>
  <si>
    <t>"Stabil sih, main game lancar,. gak ke telkomsel telkomsel letoy, udah letoy di pake main game lag parah padahal pake kuota regular sinyal nya 4g+ tapi letoyy nyaa bikin naik darah,. untung ada XL, udah lama pake telkomsel, lama lama muak juga jaringam tsel,. auto pindah XL, terima kasih XL"</t>
  </si>
  <si>
    <t>Viral Wae82</t>
  </si>
  <si>
    <t>"Ok ch, tapi kalau mau bintang 5 perbaiki sinyalnya, karna kami sangat kecewa karna sinya di daerah saya hilangÃ‚Â² terus apalagi bila sudah jam 5 sore keatas aduuuuh parah."</t>
  </si>
  <si>
    <t>Ruslan Priyadi</t>
  </si>
  <si>
    <t>"Saya baru menggunakan aplikasi ini, saya berharap di jaringan tempat saya bisa full"</t>
  </si>
  <si>
    <t>Daffa Yudono</t>
  </si>
  <si>
    <t>"menggunakan layanan XL semakin mudah dengan menggunakan aplikasi ini terutama dengan beberapa promo dan potongan harga yang tak bisa dilakukan dengan sebatas *123#. akan tetapi untuk hp spek rendah seperti hp saya, sering terjadi force close sehingga myXL harus dibuka berulang-ulang"</t>
  </si>
  <si>
    <t>Your Lucky Day</t>
  </si>
  <si>
    <t>"makasih pelayanan nya bagus, hanya saja jaringan nya di kota saya (Gorontalo) masih kurang memadai, jaringan 4g sering down ke h+ dan tiap sekali seminggu pasti hilang jaringannya. Mohon diperbaiki lagi kualitasnya selebihnya udah bagus kok."</t>
  </si>
  <si>
    <t>Samud Al Fauzi</t>
  </si>
  <si>
    <t>"Apk rusak kalau masak. Setiap gue mau beli paket selalu ada tulisan apk tidak menggapi nyesel gue beli xl kalau begini terus"</t>
  </si>
  <si>
    <t>Charly Chaeruddin</t>
  </si>
  <si>
    <t>"katanya paska bayar, udah gitu ada uang deposit &amp; batas limit pemakaian, tapi ada promo paket internet tetep aja kudu bayar dulu kaya pra bayar aja?!?!??"</t>
  </si>
  <si>
    <t>Ru Ningsih</t>
  </si>
  <si>
    <t>"bintang 3 dulu ,sebab baru pake xl, smogaa XL lebih baek dari yg laen"</t>
  </si>
  <si>
    <t>Nobaode</t>
  </si>
  <si>
    <t>"mantap... ga repot kalo pakai aplikasinya... tinggal pilih pilih terus pencet beli.."</t>
  </si>
  <si>
    <t>Wandi Pekalongan</t>
  </si>
  <si>
    <t>"Sekarang @XL semakin maju sinyalnya Sekarang sudh gak ngelag lagi buat main gam online... Terimakasih XL sudah membuat saya puas memakainya..."</t>
  </si>
  <si>
    <t>Akbar Ramdani</t>
  </si>
  <si>
    <t>"Di download nemen nemen rak keno di bukak ,padahal wes tak daftar ,ngentek ngentek ke paketan otk ,asemm ok, download te sui maneh ,!!!!!!!!!!!!!!!!!!!!!!!!!!!!!!!!!!!!!!!!!!!!!!!!!!!!!!!!!!!!!!!!!!!!!!!!_7_++_+__+7_-(+_+-+82872+3? Nnnnnnniywhjsjnjdujnhdugsgjijxhhhghgbd ke yang unik dan menarik setiap saat dan kemudian aku pak gowo montor re di gowo mamak ku beli di lokasimu tersedia banyak iklan telepon ke Facebook ke Facebook hari ini Jon bon Jovi always be my baby ku beli d!!!!!!!!!!!!!!!!!Ã‚Â¡!"</t>
  </si>
  <si>
    <t>Hezkie Lelucky</t>
  </si>
  <si>
    <t>"sementara saya kasih 3 bintang karena dilokasi tempat tinggal saya jaringan nya masih belum optimal tapi jika saya berada diluar rumah jaringan nya ok punya"</t>
  </si>
  <si>
    <t>Rahmat Ardiyan Sulistiyo</t>
  </si>
  <si>
    <t>"Saya merasa teramat sangat kecewa dengan XL. Sudah beberapa kali pulsa saya tersedot dan jumlahnya juga tidak sedikit, pada saat itu saya baru saja membeli pulsa dan mendapatkan bonus kuota saya sengaja tidak memaketkan pulsa saya dikarenakan sudah ada kuota dari bonus isi pulsa, namun tibaÃ‚Â² pulsa saya tersedot sangat banyak, padahal saya sudah mengaktifkan fitur pulsa safe.Saya pernah membeli paket kuota Xtra Combo Plus 48GB,pulsa saya sudah terpotong namun yg masuk malah yg 28GB. Sgt Merugikan"</t>
  </si>
  <si>
    <t>Eka Firdin</t>
  </si>
  <si>
    <t>"Gimana sih...niat jualan gak...di aplikasi gak ada penawaran paket kuota sama sekali...gak guna banget punya aplikasi XL...gunanya aplikasi XL itu kan buat beli kuota...lah ini gak ada menu nya sama sekali...ANEHH"</t>
  </si>
  <si>
    <t>Nita Yunita</t>
  </si>
  <si>
    <t>"aplikasi eror terus , gak bisa di buka aplikasinya .. baru di buka 5 detik sudah keluar sendiri , begitu seterusnya , surah coba telfon ke xl 817 di suruh menunggu sedang di perbaiki .. tapi kenyataannya makin kesini makin gak jelas aplikasinya"</t>
  </si>
  <si>
    <t>Tata Layla D</t>
  </si>
  <si>
    <t>"jelek banget ga biasanya kaya gini, ngisi kuota jelas jelas pembayaran berhasil tapi ga masuk kuotanya. mana customer service nya lemot banget ga di respon respon. nunggu antri dulu itupun udah sejam ga ada respon emangnya perusahaan gede ga punya agen CS banyak?"</t>
  </si>
  <si>
    <t>Mamet Bz</t>
  </si>
  <si>
    <t>"Untuk aplikasi jujur sangat bagus, tapi tolong di perbaiki masalah jaringan internet nya, sering sekali terjadi gangguan tiba-tiba signal menghilang dan darurat, kecepatan jaringan internet diperbaiki, saya pengguna setia XL sangat kecewa trmksh, sangat dengan tolong lah diperbaiki jaringan internetnya"</t>
  </si>
  <si>
    <t>Nabil Hasan</t>
  </si>
  <si>
    <t>"selamat malam kak maaf nih mau tanya saya beli paketan yang 28 kok masuk nya yang 15 itu kenapa ya mohon bantuannya kak saya sudah kejadian kedua kalinya seperti ini kak"</t>
  </si>
  <si>
    <t>Fathira Rzky</t>
  </si>
  <si>
    <t>"Coba dilihat lagi betul2 untuk iklan promo yg tidak sesuai dg kenyataan jangan ditampilkan di aplikasinya lg. Sblm isi pulsa murah giliran udh isi pulsa pilihan Paket berubahÃ°Å¸Â¤Â¦Ã¢â‚¬ÂÃ¢â„¢â‚¬Ã¯Â¸Â"</t>
  </si>
  <si>
    <t>Achmad Maulana</t>
  </si>
  <si>
    <t>"Ini gimana si Xl. Ngaku doang prioritas. Udh tau lagi Pentingggg. Sinyal jelek, lemot, bikin Sensi! Bahkan ga ada sinyalll. Masa kalah ama Im3 dan Telkomsel . !!!!!!"</t>
  </si>
  <si>
    <t>Mukhamad Rosul</t>
  </si>
  <si>
    <t>"Paketan masih 4gb,masa aktif masih lama kok ga bisa digunakan.tanggal 19 kemarin saya beli,katanya sebulan kok ga sampe sebulan."</t>
  </si>
  <si>
    <t>Murte Murte</t>
  </si>
  <si>
    <t>"sengaja saya kasih bintang lima biar di baca...kenapa sinyal XL sekarang internet nya lelet bangat dan sering sekali ganguan di tempat saya..saya posisi di Labangka sngt2 jelek sekali sinyal nya..mohon pihak XL di perbaiki lagi kualitas nya biar gak kabur pelanggan nya....Ã°Å¸â„¢Â"</t>
  </si>
  <si>
    <t>Dita Mariana Agustine</t>
  </si>
  <si>
    <t>"Mau login aja gk bisa2, kendala mulu, sinyal di hp malah hilang sma sekali ada tanda silang nya, udh dibayar pasca baysr nya, mo login aplikasi yg ini malah kendala terus, pdhal yg apk lama yg post paid bisa masuk, aneh"</t>
  </si>
  <si>
    <t>Mdw Official</t>
  </si>
  <si>
    <t>"Mau nanya, knpa XL di kalimantan lemot bnget yak, knpa gitu aja, kmaren lancar2 aja ini lemotnya minta ampun, banting hp gw."</t>
  </si>
  <si>
    <t>Arry Bae</t>
  </si>
  <si>
    <t>"XL Pelit banget ngasi Kuota Unlimited Sbg Penggunan Kartu XL sy Kira Unlimited yg sy daftar di paket Combo plus untuk seluru setelah di baca Hanya untuk Wa, map, comperence &amp; Edukasi. Tolong Lebih ber-inovasi kasi Unlimited yg lebih banyak di pakai setiap hari Contohnya Youtube, Tiktok, Instagram, Terutama Tiktok yg selalu sy pakai tiap hari kalau gini gak guna Namanya Unlimited Hanya Mampang Namanya saja."</t>
  </si>
  <si>
    <t>Nadi Nadi</t>
  </si>
  <si>
    <t>"apk nya bagus!!!!!!!!!!!!!!!!!!!!!!!!!!!!!!!!!!!!!!!!!!!!!!!!!!!!!!!!!!!!!!!!!!!!!!!!!!!!!!!!!!!!!!!!!!!!!!!!!!!!!!!!!!!!!!!!!!!!!!!!!!!!!!!!!!!!!!!!!!!!!!!!!!!!!!!!!!!!!!!!!!!!!!!!!!!!!!!!!!!!!!!!!!!!!!!!!!!!!!!!!!!!!!!!!!!!!!!!!!!!!!!!!!!!!!!!!!!!!!!!!!!!!!!!!!!!!!!!!!!!!!!!!!!!!!!!!!!!!!!!!!!!!!!!!!!!!!!!!!!!!!!!!!!!!!!!!!!!!!!!!!!!!!!!!!!!!!!!!!!!!!!!!!!!!!!!!!!!!!!!!!!!!!!!!!!!!!!!!!!!!!!!!!!!!!!!!!!!!!!!!!!!!!!!!!dah tau bagus masih Di lihat"</t>
  </si>
  <si>
    <t>Febri Andi Gultom</t>
  </si>
  <si>
    <t>"Sinyal kalian kayak sampah... tau kalian, gk da panas, gk da hujan sinyal nya hilang. Di suruh update biar bisa VoLTE, biar ini,biar itu, biar tambah lelet iya sinyal kyk sampah gini lama" XL ini. Klo satu bulan lagi kyk gni sinyal kalian.. kalian ketinggalan sama yg lain. Yakinlah.. klo iklan kalian jago, nyatanya... PENIPU...Ã°Å¸Â¤Â¦Ã°Å¸ÂÂ¼Ã¢â‚¬ÂÃ¢â„¢â€šÃ¯Â¸ÂÃ°Å¸Â¤Â¦Ã°Å¸ÂÂ¼Ã¢â‚¬ÂÃ¢â„¢â€šÃ¯Â¸ÂÃ°Å¸Â¤Â¦Ã°Å¸ÂÂ¼Ã¢â‚¬ÂÃ¢â„¢â€šÃ¯Â¸ÂÃ°Å¸Â¤Â¦Ã°Å¸ÂÂ¼Ã¢â‚¬ÂÃ¢â„¢â€šÃ¯Â¸Â"</t>
  </si>
  <si>
    <t>Mu'Amar Yaro Huda</t>
  </si>
  <si>
    <t>"Saya beli kuota promo 4GB + Bonus MyQuota 15GB, tapi bonusnya ga masuk masuk. Sudah tanya ke live chat, tapi malah dikasih chat bot alhasil jawaban dari bot gada yang benar. Mohon kalau fitur live chat mending sama orang asli jangan pake bot parah gabisa diandalkan! !"</t>
  </si>
  <si>
    <t>Wanel Sitompul</t>
  </si>
  <si>
    <t>"Tolong lah XL nya di bagus kan lagi jangan sampai kayak gini lah nanti lari semua pelanggan XL karena cuma sinyalnya jelek kali sampai harus manjat atas genteng emang ni di hutan musti manjat manjat genteng udah dari siang ni GK ada masuk sinyal nya min XL"</t>
  </si>
  <si>
    <t>Ahmad Fadel</t>
  </si>
  <si>
    <t>"jaringan internet nya nge lagi banget,sudah dengan bantuan maya ,udah lebih 2 dari 2021,masih gx ada perubahan juga ,saya beli paket akrab ,yang 100 ribu loh masa iya lag , internet nya ,pada saat bermain geme, naik turun koneksi nya tidak stabil ,dan buat,zoometing ,sumpah muter/ lag tidak stabil"</t>
  </si>
  <si>
    <t>Bimo Prasetiyo</t>
  </si>
  <si>
    <t>"Sinyal nya parah sih jelek bener ,naik turun terus ,makanya gua beli paketan XL kalo diskon doang selebih nya pake Telkomsel harga sama kualitas jelas diatas xl"</t>
  </si>
  <si>
    <t>Dera Isnoria</t>
  </si>
  <si>
    <t>"Saya sangat kecewa dg myxl ,kenapa setiap saya ngisi paket dg vocer ,saya beli vocer 19 GB tapi cuman masuk 11 GB ,tolong dong jujur yah my XL"</t>
  </si>
  <si>
    <t>Iqbal Mahendra Prayoga</t>
  </si>
  <si>
    <t>"Kenapa ya di daerah saya Kediri Jawa Timur, sinyal XL lebih kenceng di wilayah Masjid Agung Kota Kediri, dibandingkan di rumah saya Tinalan disebelahnya Radio Wijang Songko Kediri. Sinyal di Mesjid Agung bisa tembus 1,5mb/s - 3,2mb/s, sedangkan di rumah saya menjangkau 120kb/s saja sangat sulit, apakah ada yang menghalangi sinyal atau apakah? Semoga masalah ini segera diperbaiki karna sangat menyebalkan mengingat saya masih sekolah daring. Salam."</t>
  </si>
  <si>
    <t>Amal Btg</t>
  </si>
  <si>
    <t>"Aneh... Mau Isi ulang nomor voucher petunjuknya suruh buka myxl terus barcode...di aplikasinya malah gak ada buat barcode.. Wajar kalo banyak ngasi bintang 1. Apk nya kek gini gimana"</t>
  </si>
  <si>
    <t>Urif Nur Susanto</t>
  </si>
  <si>
    <t>"XL gak jelas. Saya menonaktifkan paket XTRA COMBO PKUS 20 GB kemudian saya beli lagi paket XTRA COMBO PLUS 10 GB, tapi dianggap non aktif karena sebelumnya menonaktifkan paket XTRA COMBO PLUS 20 GB. Sistemnya ABAL-ABAL. UNINSTAL!!! Kalau gini mending pindah ke by.U!!"</t>
  </si>
  <si>
    <t>Joko Supardi</t>
  </si>
  <si>
    <t>"XL kenapa setiap melakukan transaksi untuk beli kuota selalu lemot dan gagal aktivasi. Itu membuat pulsa saya berkurang jadi saya tidak bisa membeli paket kuota yang saya ingin kan karena harus menambah pulsa lagi. Tolong untuk segera diperbaiki."</t>
  </si>
  <si>
    <t>Eza Akbar</t>
  </si>
  <si>
    <t>"Tolong lah XL, harga kuota sekarang kok mahal banget, udah mahal jaringan pun tidak stabil, tolong kalok bisa di permurah harga kuotanya, sekian..."</t>
  </si>
  <si>
    <t>Wirawanvlog</t>
  </si>
  <si>
    <t>"Sinyal naik turun, hujan dan g hujan sama aja... + milihÃ‚Â² lokasi untuk jaringannya padahal kota besar loh. Masih aja pilihÃ‚Â² lokasi sinyal nya"</t>
  </si>
  <si>
    <t>Joshua Obama</t>
  </si>
  <si>
    <t>"Tolong dong, saya kan ini kerjanya daring.... jadi perlu paket... paketnya gampang abis... tolong di keluarin paket 30 hari atau 7 hari paket ultimatenya... jadi saya gak perlu beli paket lagi kalo kouta saya habis... tolong dong, sekarang masa PPKM nyari duit susah... jadi saya selalu keluarin duit buat beli paket kalo abis.. Dah itu aja dari saya."</t>
  </si>
  <si>
    <t>Haris Mantoro</t>
  </si>
  <si>
    <t>"Bole aku kasih saran, jika punya dua peket berbeda tolong beri pilihan paket mana yg mesti di gunakan. Tolong buat pengaturan paket."</t>
  </si>
  <si>
    <t>Kucluk Gaming</t>
  </si>
  <si>
    <t>"Kecewa banget ama xl sumpah,,,pemberitahuan paket habis gak ada jadwal dan pukul berapa,,asal pengumuman aja,,gak tahu dah gua,,paket masih banyak dah angus,,user xl dari tahun 2016 padahal pake xl malah bikin kecewa"</t>
  </si>
  <si>
    <t>Herm Anto</t>
  </si>
  <si>
    <t>"Sinyal mulai gak stabil,sudah males pkai kartu XL. Dikomplain,ujung"nya cuma disuruh matiin hp,, Sinyal ok lagi,,tp beberapa jam kembali lagi tidak lancar,tidak stabil lagi,lama bosen juga pakai kartu Xl,sinyalnya cuma gitu" aja. Sinyal nya Cuma buka apk my xl aja gak kuat,parah gak tu,? XL,XL area boyolali"</t>
  </si>
  <si>
    <t>Deno Ardian</t>
  </si>
  <si>
    <t>"Fitur live chat ga mutu, jawaban dr mesin "Ternyata Maya perlu tambahan waktu untuk melakukan pengecekan, mohon bersabar ya" &amp; "Mohon menunggu sebentar, saat ini Maya sedang melakukan pengecekan" bukannya dpt solusi malah bikin drop pki XL."</t>
  </si>
  <si>
    <t>Indra Prayogo</t>
  </si>
  <si>
    <t>"lumayan, saran user interface dipermudah, dan paket kalo bisa lebih murah aja, akan saya tambah bintang jika saya merasa sudah cukup puas dengan aplikasi"</t>
  </si>
  <si>
    <t>Zellynapespen Zellynapespen</t>
  </si>
  <si>
    <t>"Bukan nya bagus pakai aflikasi ini ..masa saya beli pulsa baru baru pilih paket dtng sms...pembelian paket tdk berhasil pulsa hbs paket data tk ada...woiii xl sya beli pulsa pk duit bkn pake daun..."</t>
  </si>
  <si>
    <t>Batigol Castle Crush</t>
  </si>
  <si>
    <t>"Sekarang malah ga bisa masuk my XL sama sekali.. keluar langsung..ditendang sendiri.. ga bisa cek pulsa..ga bisa beli paket lewat my XL"</t>
  </si>
  <si>
    <t>Rizky Rizky</t>
  </si>
  <si>
    <t>"Sisa kuota saya tinggal 10 GB, kemudian saya isi 14 GB. Seharusnya kan disitu terisi 24 GB, tapi kok saya cek malah 14 GB, seharusnya tambah jadi 24 GB. Tolong di perbaiki. Terima kasih."</t>
  </si>
  <si>
    <t>Intan Jauhari</t>
  </si>
  <si>
    <t>"Hey, pembuat apk my xl, jangan korupsi terhadap paket data orang lain, padahal aku beli paket data 8 GB tpi kok didalamnya cuma 2 GB, mana GB sisanya padahal udah sering saya update apknya di play store disaat ada peringatan untuk update serta sering lemot deh, padahal banyak yg pakek apk ini, tpi kalo gini kami para pelanggan my xl malah terus-terusan ke buang percuma uangnya, dan pembuat apk my xl malah tambah kaya, lebih gunakan pekerjaan anda dengan jujur dan adil. Trims..."</t>
  </si>
  <si>
    <t>Darto Ibra</t>
  </si>
  <si>
    <t>"Lumayan lah.. Tapi dibanding Dg aplikasi operator sebelah masih jauh dari kata Bagus &amp; menarik .. U/saat ini my XL yah gitu aja.."</t>
  </si>
  <si>
    <t>Yazid Muhammad</t>
  </si>
  <si>
    <t>"XL terbaik untuk harga paket &amp; isi paketnya saat ini, jaringan juga stabil, Jangan Pernah Berubah ya XL, tetep merakyat dikantong kami, para kuli serabutan. Ã¢ËœÂºÃ¯Â¸ÂÃ¢ËœÂºÃ¯Â¸ÂÃ¢ËœÂºÃ¯Â¸ÂÃ°Å¸Â¤Å“Ã°Å¸ÂÂ¾Ã°Å¸Â¤â€ºÃ°Å¸ÂÂ¾"</t>
  </si>
  <si>
    <t>Husain Mubarok</t>
  </si>
  <si>
    <t>"Gua saranin jangan beli kartu XL, susah banget sinyalnya bikin emosi, jaringannya suka hilang sendiri, buat WhatsApp, Instagram, Facebook, juga selalu nge lagh, ..."</t>
  </si>
  <si>
    <t>Jaenal Aripin</t>
  </si>
  <si>
    <t>"Alhamdulilah bagus sinyalnya tapi apa boleh mengunduh aplikasi my xl dlm satu smartpone dengan nmor berbeda?saya menghubungi mbak maya tapi tidak terhubung meskipun saya sudah mendaftarkannya."</t>
  </si>
  <si>
    <t>Siti Rosalina</t>
  </si>
  <si>
    <t>"Bagus,cuman di aplikasinya kayak agak lambat aja loadingnya padahal kuota banyak,trs akhir akhir ini aku ngrasa paketnya agak lebih boros,padahal cuman wa,ig,dan YouTube sekali kali tapi 1minggu bisa 10gb sendiri"</t>
  </si>
  <si>
    <t>Kacung Sugeh</t>
  </si>
  <si>
    <t>"Saya kasih bintang 5 untuk segera memperbaiki layanan sinyalnya... Semakin byk penguna nya harus layanan sinyalnya juga diperbaiki lah supaya tidak lemot... semangat xl"</t>
  </si>
  <si>
    <t>Andi Ammar</t>
  </si>
  <si>
    <t>"Terlepas dari aplikasi nya, jaringan masih sangat Ã°Å¸â€˜Å½, provider bisa berkembang gak? Katanya 4,5g? Kok kualitas jaringan nya kyk H+ malu boss klaim bertolak belakang dgn kenyataan"</t>
  </si>
  <si>
    <t>Agung Nurul</t>
  </si>
  <si>
    <t>"akses internet saat pagi hari sebelum jam 08.00 sudah cepat...kalo sudah siang jam 10.00 SD jam 16.00 sore kadang macet2 an ...anak sy saat daring kuliah bingung sinyal padahal kuotanya masih banyak"</t>
  </si>
  <si>
    <t>Ngkuy Opisial</t>
  </si>
  <si>
    <t>"Saya sudah lama jadi pengguna XL lebih 5th cuma sekarang jadi ada sistem area waktu ngerantu enak paket murah apalagi bonus area, setelah tidak merantau lagi dikampung harga paket mahal bonus area dikit jadi mohon maaf saya harus ganti provider"</t>
  </si>
  <si>
    <t>Rizal Wahyu Hidayat</t>
  </si>
  <si>
    <t>"Niat buat provider ga sih, sinyal makin lama makin lambat, jangan cuma bicara dong, lakuin sesuatu kek apa dateng ke lokasi kek, gitu amat sih pelayanan nya, pliss dong dulu xl ga separah sekarang, sekarang malah jadi dibawah nya 3, parahh!!!"</t>
  </si>
  <si>
    <t>Joena Eddy</t>
  </si>
  <si>
    <t>"gampang jg,,baru pertama pakek XL,jaringannya aj kurang puas,4 bintang deh,,mantap lh,,bnyak bonus nya lg,tolong wilayah kec sipis pis ,kab ser gai,,di perluas jaringan V4 g nya"</t>
  </si>
  <si>
    <t>Muhammad Sulistiyawan</t>
  </si>
  <si>
    <t>"Saya beli paket data EXTRA COMBO VIP 128K, dan masih ada sisa kuota 16 giga dari paket data sebelumnya dengan paket yang sama, tetapi TIDAK TERAKUMULASI, sudah lapor CS 4Hari belom ada kejelasan, untuk harga paket EXTRA COMBO VIP yg 15giga aja ngga dapet 65K TOLONG LAPORAN SAYA SEGERA DI PROSES KECEWA SAYA JADI PELANGGAN XL!!! Karna Harga paket datanya ngga murah!!"</t>
  </si>
  <si>
    <t>Ismi Tri Agustina</t>
  </si>
  <si>
    <t>"Sebenernya xl tuh pling enak dn nyaman di sy pribadi, tpi krna 1 msalh ini yng bkin sy kecewa, saat scan vocher kenapa tidak bisa mengambil bonus ny Rp.0 pdahl sy sudh beberpa kali live chat msih tdak ada perubhan, hingga ke 4/5 kalinya sy beli msih tdk bsa"</t>
  </si>
  <si>
    <t>Brownies Cake</t>
  </si>
  <si>
    <t>"Ada masalah apa woii!! Gue buka aplikasi my xl udah bolak balik dari seminggu yg lalu sama sekali gabisa dibuka, padhal udah diupdate, trus uninstall install lagi copot lagi sampe ini lg install lagi Ã°Å¸ËœÂ¤Ã°Å¸ËœÂ¤"</t>
  </si>
  <si>
    <t>Harditia 3Za</t>
  </si>
  <si>
    <t>"Maaf kenapa saya login di aplikasi my xl tidak pernah bisa. Sudah saya coba berkali kali tetap tidak bisa. Tolong diperbaiki!"</t>
  </si>
  <si>
    <t>Sugeng Ahmad</t>
  </si>
  <si>
    <t>"dulu sempat jadi pelanggan XL gara" dapat gratisan sms &amp; pindah ke oprator lain karna XL lebih mahal Dan sekarang Saya Menjadi pelanggan XL Selama 4 bulan Terahir gara" beli Voucher Cuma 68.000 Sudah Dapat 40 GB, Sudah Bebas Ngakses Youtube, ig, Dll mantab pokok nya XL SEMOGA KEDEPANNYA MASIH TETAP DIHATI SEMOGA KEBACA"</t>
  </si>
  <si>
    <t>Agni Dea Perkasa</t>
  </si>
  <si>
    <t>"aplikasi yang walau kadang suka bikin kesel karena katanya jaringan enggak stabil tapi tetep jadi andalan kapanpun dan di manapun buat cek kuota dan beli kuota walau kadang *123# ada beberapa promo lebih murah...."</t>
  </si>
  <si>
    <t>Singa Malam</t>
  </si>
  <si>
    <t>"Kapok deh beli kuota xl lagi, baru beli kuota yang sebulan gak bisa dipakai karena koneksinya jelek, nge ping ke google aja rto terus. Mending setia aja deh ke si merah, biar mahal tapi koneksi stabil."</t>
  </si>
  <si>
    <t>Fajar Pamungkas</t>
  </si>
  <si>
    <t>"Jangan pake xL lagi. Singal kyk babi. Najis jaringan nya. Mending indosat lancar jayaaaaaa... Kecewa sumpah sinyal buruk . Ini udh jaman 4g mau naik ke 5g. Masa jadi E+ . Mau balik ke jaman jadull..."</t>
  </si>
  <si>
    <t>Muhammad Harit</t>
  </si>
  <si>
    <t>"Xl Parah banget. Liat Sms tiba2 ada pesan Kuota diperpanjang di tgl 23 january. Pulsa saya tiba2 di sedot buat beli kuota padahal saya gak beli. Kuota sebelumnya juga msa berlakunya sampai 5 february isi kuota juga msih 7gb. Di transaksi gk ada history padahal di appnya gk bisa hapus hisyori. Saya cek kontrol pulsa saya semua saya aktifin biar gak sedot pulsa. Jadi apa2 nih kok kuta saya di sedot seenaknnya. Balikin pulsa saya, saya gk butuh perpanjangan kuota klo gk beli. Kyk dimaling saya"</t>
  </si>
  <si>
    <t>Adlin Farell</t>
  </si>
  <si>
    <t>"rasa nya mau ku patahkan aja kartu xl nya ini.. lelet nya gk ke tolongan asik mutarÃ‚Â² aja, perbaiki lah tolong jaringan internet nya jangan ke 5G lah kalo 4G aja masih lemot gini... daerah mariendal 1 deliserdang. sumatera utara"</t>
  </si>
  <si>
    <t>Aprizal Yusuf Channel</t>
  </si>
  <si>
    <t>"XL sudah cukup bagus, namun terkadang sinyal atau jaringan kurang joss tapi ini sudah cukup kok. Saya harap kedepannya XL semakin maju lagi dan lebih baik lagi ya. Terima Kasih.... :)"</t>
  </si>
  <si>
    <t>Zulfikar Radit</t>
  </si>
  <si>
    <t>"Dapat diskonan paketan 65 Gb, tapi ketika di aktifkan hanya dapat 56 Gb, kenapa bisa gak sama hasilnya? Tapi untuk keseluruhan Xl Ã°Å¸â€˜Å’Ã°Å¸â€˜Å’Ã°Å¸â€˜Å’"</t>
  </si>
  <si>
    <t>A. Rachmadani</t>
  </si>
  <si>
    <t>"Kemarin saya beli paket data 40GB tapi yg masuk cuman 13GB. Lah, gak terima dong!!! Belinya 40GB masuknya 13GB doang. Kembali ke konter tempat beli data, katanya gangguan. Sudah di laporkan sama mbak konternya ke XL, tapi sampai sekarang kuota saya belum bertambah loh! Masih tetap 13GB!! Sumpah kecewa!! BertahunÃ‚Â² saya pakai XL, baru kali ini kecewa!! Pokoknya saya tidak mau tau, kuota saya harus 40GB dong sesuai dengan yang saya beli!!!"</t>
  </si>
  <si>
    <t>Rayhan Adc</t>
  </si>
  <si>
    <t>"kuota sangat lengkap,murah lagi tapi sayang untuk kecepatan internet untuk di wilayah saya masih suka lelet tiba tiba jadi tolong diperbaiki kualitas sinyal nya ya kakÃ°Å¸â„¢Â"</t>
  </si>
  <si>
    <t>Pedot Brigash Chanel</t>
  </si>
  <si>
    <t>"Sudah beberapa hari ini sinyal semakin buruk tidak bisa buat main game Sedikit kecewa karena sudah lama memakai kartu xl Baru kali ini kecewa sekali Tolong di perbaiki"</t>
  </si>
  <si>
    <t>Firdaus Pratama</t>
  </si>
  <si>
    <t>"Tanpa ada pemberitahuan kalau sinyal down ? Ini saya lagi ngojol kalau kenapa kenapa denga akun saya gimana gara gara sinyal down !!! Toling dong ini sudah 2022 diperbaikin lagi sistemnya bukan nya malah makin baik malah makin buruk nih XL"</t>
  </si>
  <si>
    <t>Mbah Tosan 726</t>
  </si>
  <si>
    <t>"Ada apa dengan AXIS Kok sering LEMOT Semoga XL &amp; AXIS jaringannya semakin kuat, sebab saya pengguna XL &amp; AXIS. Semangat.....!! Semoga XL &amp; AXIS semakin kuat jaringannya. Aamiin.."</t>
  </si>
  <si>
    <t>Yang Riza</t>
  </si>
  <si>
    <t>"XL gila!!!!! Sumpah masa ditulis promo kuotanya 60 GB tapi yang datang malah 40 GB, bukannya apaÃ‚Â² cuman yang bener dong kalo bikin promosi tuh!!!! Mana boros lagi!!! Ga bakal pakai XL lagi!!!!"</t>
  </si>
  <si>
    <t>Muhammad Basar</t>
  </si>
  <si>
    <t>"XL semakin tidak bagus jaringannya sudah beli kuota di aplikasi XL jelek kawan-kawan semua beralih ke jaringan indosat atau telkomsel...kalau seperti ini terus jaringan XL"</t>
  </si>
  <si>
    <t>M. Adika Febriansyah</t>
  </si>
  <si>
    <t>"Baru isi paket jaringannya rusak banget ga bisa dipake buat apapun. Jangankan sosial media , apk xl nya sendiri aja ga bisa kebuka karna jaringan burik nyesel beli kartu xl"</t>
  </si>
  <si>
    <t>Syarif Hidayatullah</t>
  </si>
  <si>
    <t>"Payah dahlah.. pindah provider aja... udah sinyal lemah. harga mahal.. kode veritifikasi login lama mask nya pula... 5 menit baru masuk sedangkan dalam 5 menit itu kode sudah hangus gmna itu.... payah"</t>
  </si>
  <si>
    <t>Yusuf Dwi Yulianto</t>
  </si>
  <si>
    <t>"Banyak Bug/eror apk gk jelass, bukannya mempermudah malah mempersulit!!!!!!!!! Saran saya sih mending cek/isi ulangnya di buat juga di web supaya kalau di apk gk bisa bisa ke web....."</t>
  </si>
  <si>
    <t>Malik Ridwan</t>
  </si>
  <si>
    <t>"Min ko gangguannya tiap minggu ya?? Kalo gak becus kerja bakar aja tuh perusahaan xl gak guna..kuota mahal tapi jaringan lemot,katanya kapanpun dan di manapun gblok dasar"</t>
  </si>
  <si>
    <t>Ade Saiful</t>
  </si>
  <si>
    <t>"Sumpah ini jaringan XL makin ke sini makin parah gw kerja dari rumah buat kirim bukti fail lola bgt sumpah ampe di maki maki pimpinan gw tolong donk di perbaiki sedikit kita butuh jaringan anda stabil karna kita pekerjaan membutuhkan kesetabilan dalam bekerja :("</t>
  </si>
  <si>
    <t>An An</t>
  </si>
  <si>
    <t>"Sinyal bagus dan stabil serta banyak diskon untuk paket kuota saya senang Hal yang mengganggu adalah setiap mati lampu kenapa koneksi sinyal terputus??"</t>
  </si>
  <si>
    <t>Ot Nay</t>
  </si>
  <si>
    <t>"Kirain gangguan sinyal , sampai 2 hari itu mah gangguan jiwa , parah lu , quota gue msh 22GB , ini aja gue on pake smart pren , balikin ga?????"</t>
  </si>
  <si>
    <t>Muhammad Yusri</t>
  </si>
  <si>
    <t>"Kenapa signal XL sering hilang , mohon di perbaiki , jgn sampai pengguna XL gak puas , utamakan pelayanan , faham ?? , Maaf aku kasih bintang 1 , kalau signal XL udh stabil baru bintang nya di full kan"</t>
  </si>
  <si>
    <t>Frisca Merdiyanti</t>
  </si>
  <si>
    <t>"Fitur aplikasinya bagus. Tp sy agak kesel sama jaringannya ya. Tidak menjangkau semua wilayah. Mungkin memang xl cocok utk orang2 urban, tp kurang bisa diajak flexible Klo bepergian"</t>
  </si>
  <si>
    <t>Putri Kharismaturrosyiidah</t>
  </si>
  <si>
    <t>"Kenapa sih gak bisa bagi pulsa ke Operator lain selain xl/axis. Padahal lagi butuh banget, lagi darurat banget malahan mau dipake dicoba nggak jadi-jadi. Tolong dibisain dong,biar kalo lagi kepepet tengah malem gini gak bingung."</t>
  </si>
  <si>
    <t>Muhammad Saefuddin</t>
  </si>
  <si>
    <t>"Sumpah udah hampir mau sebulan jaringan internet gak stabil,di sabar sabarin tadi nya sih di kira cuma sehari dua hari!!!! tapi skrng sudah habis kesabaran nya.huft mohon maafÃ°Å¸â„¢Â"</t>
  </si>
  <si>
    <t>Irfan Afiridianto</t>
  </si>
  <si>
    <t>"Jelek bgt. Baru isi paket data signal ilang mulu, terkadang malah kartu tdk terbaca. Tlglah ditingkatkan lagi, katanya XL Prioritas. Thank you"</t>
  </si>
  <si>
    <t>Ronny Hidayat</t>
  </si>
  <si>
    <t>"Buat apa ada kuota youtube 24jam kalo kuota regular yg di sedot !!! Fak XL BIKIN NAIK DARAH !!!!!! Sangat buruk XL SANGAT BURUK !!!"</t>
  </si>
  <si>
    <t>Sayyid Bahasyim</t>
  </si>
  <si>
    <t>"Saya kecewa banget sama xl,dulu XL cepet banget jaringannya,sampai menurut saya kemungkinan lag/lemot itu cuma beberapa persen,tapi,sekarang berbeda,malahan lag/ lemottt banget,tolong dari pihak XL perbaiki jaringannya,dan saya juga bingung Ã°Å¸Ëœâ€¢,cara ngaktifin LTE XL di hape Vivo y1s atau Vivo 1929 gmn"</t>
  </si>
  <si>
    <t>Dhaffa Alfahrizi</t>
  </si>
  <si>
    <t>"Sangat mengecewakan beli kuota 12.500 katanya 5 gb 1.5 gb kuota utama 500mb youtube dan 2.5gb kuota lokal masa yang dapet malah 2.5 gb? Beli 5gb yang dapet cuma setengahnya? Kemana 2.5gb nya?? Mengecewakan lebih untung im3 cara aku dari pada ini pembohong"</t>
  </si>
  <si>
    <t>Anjas Maulana</t>
  </si>
  <si>
    <t>"Sumpah sama XL udah gak bener kemaren beli kuota Rp120.000. Pulsa nya terpotong paketnya gak masuk.. Sekarang beli kuota malah kuota lokal nya yang gak masuk.. Dan mau nya nipu nipu mulu heran !! Heran sama XL bener.. !? Asudahlah.. Ganti Daplover yang pasti pasti aja"</t>
  </si>
  <si>
    <t>Aira Mila</t>
  </si>
  <si>
    <t>"Makasih ya udah membuat saya MARAH marah sampe sakit cuma mau bilang XL sukses buat gue sakit pusing serius untung gak serius semoga kalian baik baik aja yaa soalnya biasanya apa yg kamu lakukan kamu juga akan mendapatkan yg sama TRIms.. KL belum dibetulin gausah minta bintang 5 gak pantes sadar diri sinyal lu jelek bersyukur aja masih ada yang pakeÃ°Å¸â„¢â€š, kenapa ya saya beli paket 11,5gb 20rb malah msknya 6gb? Situ korupsi? Saya udh bayar 20rb lho? Udh sinyalnya jelek pelayanannya buruk"</t>
  </si>
  <si>
    <t>Taqiyah Azah</t>
  </si>
  <si>
    <t>"Gimana sih xl nih!!!?? Masa aku barusan beli paketan 10gb 16rb, tapi tiba tiba jadi 4gb 16rb??! Apa gara gara promo nya habis?? Padahal pertama masih kmrn masih bnr lho.. Suka nya nambah ngurang sendiri.. Bonus yg di dpt juga beda.. Masa tulisannya 1gb tapi nyatanya cuma 200mb??!.. Gimana nih.. Saya pelanggan setia xl lho.. Kecewa saya Mana aplikasinya lemot banget lagi -_-||"</t>
  </si>
  <si>
    <t>Anggry Betra Nata</t>
  </si>
  <si>
    <t>"Saya biasanya beli paket yg 1 minggu 12 ribuan dengan paket 11 gb....sekarang yg masuk cuman paket utama dan paket YT, paket bonusya tidak masuk. Tolong solusinya gmna? Apa yg harus saya lakukan? Atau kah hrus saya kembali ke TELKOMSEL karena pelayanan beli paketnya banya penjpuan"</t>
  </si>
  <si>
    <t>Nurhakiki</t>
  </si>
  <si>
    <t>"Maaf ini kenapa ya, saya baru beli paket kemarin 13 gb trus saya juga dapet bonus unlimited ig sm fb, dan saya cuma pake buat main wa, ig, dan fb tp knpa hari ini tiba" kouta sya tinggal 6 gb, kesel banget sm xl skrng jadi males pake xl"</t>
  </si>
  <si>
    <t>29. Natal</t>
  </si>
  <si>
    <t>"Tlong SINYALNYA!! .kenapa ya akhir akhir ini sinyalnya dateng lgi ilang lgi, saya sampai gk bisa ngirim tugas(untung gurunya pengertian:v) + nonton anime. plis sinyal anda dimana? Tugas saya masih banyak yg blom dikumpul, mana rapotan udh deket lgi. Tolong kedepannyaÃ°Å¸â„¢ÂÃ°Å¸ÂÂ» sinyal oh sinyal~"</t>
  </si>
  <si>
    <t>Satria Boz</t>
  </si>
  <si>
    <t>"Jaringan gk jelas lag terus !! Padahal kouta masih 200 GB pas di pake serasa menggunkan kouta 100 mb lag parah buka youtube aja gk bisa !! Gk jelas Sama jaringan selama 4 bulan ini Kenapa cuman 1 bantang doang padahal gw tinggal di kota bukan di desa"</t>
  </si>
  <si>
    <t>Terune Nyalah</t>
  </si>
  <si>
    <t>"Layanan nya memuaskan, sayangnya saya tidak bisa memberikan bintang 5 soalnya, harga paketnya masih jauh dari yg idamkan pengguna, tolonglah turunkan harga paket internet nyaÃ°Å¸â„¢Â"</t>
  </si>
  <si>
    <t>Gadis Susana</t>
  </si>
  <si>
    <t>"Saya beli paket tidak masuk saya coma mengubungi no layanan cuman pulsa. Yang habis di suruh chat live pun gak ada ke jelasan nya . Untuk saat ini penilai saya .. Costumer servis xl sangat jelek sekali"</t>
  </si>
  <si>
    <t>Wigi Suntara</t>
  </si>
  <si>
    <t>"Kecewa keluhan respon nya lelet.. Yg td nya kuota tinggal 20 GB hilang gitu aja tanpa pemberitahuan.. Beli lg kuota yg 6 GB dgn masa aktiv 30 hri malah 1 malam hilang gitu aja.. XL ada apa ? Kecewa banget.. Maaf ngasih ranting bintang 1 biar bisa memperbaiki kualitas.."</t>
  </si>
  <si>
    <t>Mohaamad Rizki</t>
  </si>
  <si>
    <t>"Di dsn . Sonopinggir rt02 rw01 desa juwet kecamatan ngronggot kabupaten nganjuk sinyal xl axiata zonk . Lelet . Lemot. Kek keong sawah . Masak sinyal cuma 2 batang doang . Buat download 1 jam baru rampung . Buat nonton youtube cuma di 144p di 360p lemot . Zonk . Lelet. Keksiput udah harga paket mahal masak 20rebu 2 giga gak ada bonusnya . Kayak indosat . Udahmurah. Sinyalnya bagus . Sampaike plosok desa . Hargapaket sesui kantong sampai kapan xl axiata begini terus"</t>
  </si>
  <si>
    <t>Adi Adrian</t>
  </si>
  <si>
    <t>"Benar benar kecewa dah pake XL. Dah kuota nya ga jelas. Sinyalnya jelek dan lemot pula. Udah byk yg komplen tp kayanya disepelekan busnget. Ga ada kynya niat mo perbaiki"</t>
  </si>
  <si>
    <t>A I</t>
  </si>
  <si>
    <t>"Gak jelas sekarang XL masa sinyal penuh jaringan 4G tapi tetep leg terus, tahun" kemaren ngga gini, masih bagus, tapi sekarang" malah makin jelek"</t>
  </si>
  <si>
    <t>Sandy Profit Hunter</t>
  </si>
  <si>
    <t>"Kecewa berat.. pesan paket dari WA XL prioritas, hampir 1 bulan gak ada juga paketnya.. duit uda transfer. Ini kalau bisa aku mau kasih bintang 10 negative ."</t>
  </si>
  <si>
    <t>Ahmad Fatoni</t>
  </si>
  <si>
    <t>"Saya sangat kecewa pakai XL , no. Kartu saya ada masalah : ditlp dan TLP keluar tidak bisa,sdh dtg ke agent 3 kali, 1.bisa dibantu normal selang sehari Kambuh lagi , 2. Disarankan ganti kartu baru bayar Rp.10.ribu + isi pulas Rp 10.ribu bisa dipakai untuk sms tgg 1x 24 jam normal seperti biasa selang sehari Kambuh lagi , dtg ke 3 ke agent jawabannya tidak ada masalah tapi kartu tetap TDK aktif cuma klo untuk paket data masih bisa malah disarankan harus ganti nomer. ini jawaban yg paling kecewa"</t>
  </si>
  <si>
    <t>Devina Chrissa</t>
  </si>
  <si>
    <t>"Awal2 beli seneng sih pket murah, tiap kali beli pulsa &amp; paket juga dpt bonusan, tp hari ini saya kecewa krna wktu hubungi maya eh live agentnya menyebalkan.. pdhl org bukan boot, agent tp susah bgt ngomong maaf, tolong, dan ngejelasin dg baik.. Training lagi ya agent2 nya, gue mles spill agent brp yg bls cht kmrn.."</t>
  </si>
  <si>
    <t>Lugune Baewis</t>
  </si>
  <si>
    <t>"Gw udh download pas di buka masuk aplnya eh mlah terjadi kesalahan mulu. Cobalah beberapa saat lg pas di tungguin berminggu minggu ttp aja sama terjadi kesalahan. XL sekrang payah mending gantibkrtu dh drpada kecewa mulu"</t>
  </si>
  <si>
    <t>Rendy</t>
  </si>
  <si>
    <t>"Ini kenapa lagi jaringan XL malah makin lemot nyesel saya udh berlangganan selama ni rupanya pas d awal aja kartunya bagus jaringan nya makin berlangganan makin buruk jaringan nya malah makin hancur sia" jadinya"</t>
  </si>
  <si>
    <t>Alif Muhtadee</t>
  </si>
  <si>
    <t>"He XL ini gimana biasanya habis ujan sinyal kembali ini 2 hari gak kembali padahal baru isi paket ini gimana sih ?!!! Tolong lah sinyal nya juga di perhatikan!!!! Selalu h+ kalo ga ya hilang sinyalnya Biasanya lancar jaya ini kayak siput Kenapa sih XL ??"</t>
  </si>
  <si>
    <t>Gifari Samudra</t>
  </si>
  <si>
    <t>"Jangan pernah percaya dengan myXL, ini aplikasi penipuan, jangan pernah terkecoh oleh SMS yg menggiurkan dari my XL itu semua penipuan, pembohongan,"</t>
  </si>
  <si>
    <t>Ikma</t>
  </si>
  <si>
    <t>"Kenapa yg xl bohong Saya lihat ada paket xtra combo 20 gb harga 54 ribu, tapi kenapa pas diklik beli ko jadi rp 83000, aku nyesal udah beli pulsa xl penipu"</t>
  </si>
  <si>
    <t>Jambul 12</t>
  </si>
  <si>
    <t>"udah bagus,tingkatkan terus kwalitasnya,dan kedepanya semoga ada pilihan masa aktif s/d 10 hari,karena sangat membantu untuk para pengguna kelas bawah,thanks XL,goodÃ°Å¸â€˜ÂÃ°Å¸â€˜ÂÃ°Å¸â€˜Â"</t>
  </si>
  <si>
    <t>Deva Ariffiandi</t>
  </si>
  <si>
    <t>"Bismillah Assalamualaikum warahmatullahi wabarakatu Saya kurang suka dengan kinerja my XL karena memotong pulsa dan perpanjangan paket tanpa pemberitahuan terlebih dahulu dan saya sangat kecewa lantaran pulsa saya terpotong padahal masih ada paket XL lainnya yg saya gunakan"</t>
  </si>
  <si>
    <t>Iin Fajrianto</t>
  </si>
  <si>
    <t>"Knapa beberapa hari terakhir ini jaringan XL hilang hilang. Khususnya di daerah Sulawesi Tenggara, Kabupaten Konawe Selatan, tolong infonya.?!!! Ã°Å¸â„¢ÂÃ°Å¸â„¢ÂÃ°Å¸â„¢Â"</t>
  </si>
  <si>
    <t>Toto' Unt</t>
  </si>
  <si>
    <t>"Gua dpet bonus kuota krna beli pulsa, nahhh.. gua coba ambil tu bonusnya, akhirnya bisa.. tp ada syaratnya. Kuota bisa aktif jika punya kuota utama yg aktif.. ngapain gua ambil bonusnya klo punya kuota utama... Hadehh.. anehÃ‚Â² aja . Skalian aja syaratnya gini, bonus kuota akan aktif jika anda membelinya..Ã°Å¸Â¤Â¦Ã°Å¸ÂÂ»Ã¢â‚¬ÂÃ¢â„¢â€šÃ¯Â¸ÂÃ°Å¸Â¤Â¦Ã°Å¸ÂÂ»Ã¢â‚¬ÂÃ¢â„¢â€šÃ¯Â¸ÂÃ°Å¸Â¤Â¦Ã°Å¸ÂÂ»Ã¢â‚¬ÂÃ¢â„¢â€šÃ¯Â¸ÂÃ°Å¸Â¤Â¦Ã°Å¸ÂÂ»Ã¢â‚¬ÂÃ¢â„¢â€šÃ¯Â¸ÂÃ°Å¸Ëœâ€šÃ°Å¸Ëœâ€šÃ°Å¸Ëœâ€šÃ°Å¸Ëœâ€š"</t>
  </si>
  <si>
    <t>Yudha Ksma</t>
  </si>
  <si>
    <t>"Mohon lah sinyal di benerin, jam malam pun sinyal masih lelet parah, padahal dulu itu sinyal full terus lancar, eh udah rame yg pakek malah lemot"</t>
  </si>
  <si>
    <t>Bagus Oka Surya</t>
  </si>
  <si>
    <t>"Sayang sekali untuk paket VIP rollover nya tidak berlaku saat mengaktifkan paket sejenis dengan jumlah kuota berbeda sehingga kuota sebelumnya yang masih satu jenis hangus semuanya. Sebenarnya oke promonya tetapi perpanjangan dikenakan tarif normal yang sangat diluar dugaan. Sehingga experience menggunakan xtra combo vip saat promo tak ada bedanya sama xtra combo biasa yang memang akumulasi nya max 1 GB, sehingga terkesan hanya membuang-buang data yang bisa sampai 24 GB sisanya dan tak bersisa"</t>
  </si>
  <si>
    <t>Muhex Pht</t>
  </si>
  <si>
    <t>"Saya kasih bintang 2,, simcard XL saya tidak saya aktifkan,,tapi selalu isi pulsa,,buat beli masa aktif..tapi pas buka di myXL pulsa saya tinggal 600 perak, padahal gk saya aktifkn .parah..Xl pencuri pulsa."</t>
  </si>
  <si>
    <t>Khairil_Ar</t>
  </si>
  <si>
    <t>"Hai xl yang terhormat knapa kartu xl saya tidak ada suara pas nlpn, padahal volume nya full, udah dua hari kayak gini, gangguan atau knapa..?"</t>
  </si>
  <si>
    <t>Ball'S Life</t>
  </si>
  <si>
    <t>"Memudahkan "</t>
  </si>
  <si>
    <t>Rizky Kusuma</t>
  </si>
  <si>
    <t>"sangat puas berlangganan menggunakan XL, dari dulu memang sudah pakai XL, tapi masalah jaringan ny saja, kadang hilang sendiri."</t>
  </si>
  <si>
    <t>Wartono No</t>
  </si>
  <si>
    <t>"Hari ini saya kecewa saya sudah isi paket gojeg yang 20gb 75ribu tapi tiba-sinyal ilang sama internetnya mati...halo xl tolong di perbaiki jangan bikin kami kecewa..karena kami tidak bisa kerja.terimakasih"</t>
  </si>
  <si>
    <t>Dede Setiawan</t>
  </si>
  <si>
    <t>"Kecewa Ã°Å¸ËœÂ¡ awalnya speed normal gak lemot gak cepet... tapi sekarang sinyal 1 batang &amp; speed dibawah 30KB/s itupun di rumah sendiri... Rev: sudah mulai stabil, tetapi masih lost connection beberapa kali 2nd Rev: I take back my word! How's that possible, kuota masih ada 2/3gb limiternya masa udh aktif sih! Waduuh... It's time to move to the yellow one for a while..."</t>
  </si>
  <si>
    <t>Ini Gua</t>
  </si>
  <si>
    <t>"tidak bisa masuk apk kalau tidak ada kuota,harusnya bisa,supaya kalau pas kehabisan kuota terus mau isi ulang lewat apk jadi lebih mudah."</t>
  </si>
  <si>
    <t>Acink'Z Sempalkateph</t>
  </si>
  <si>
    <t>"Smua ulasan sama keluhannya,makin kesini makin lemooooooooooootttttt,kadang tibaÃ‚Â² ga konek,dan yg sering saya alami,paket data saya sim 1 tpi sll ada notif di sim 2 bilangnya anda sedang menikmati internet blabla..,lah habis itu pulsa ludes tak tersisa,,,saya pake data sim 1 boss napa pulsa di sim 2 di ludesin juga,,,"</t>
  </si>
  <si>
    <t>Iwan Kurniawan</t>
  </si>
  <si>
    <t>"Update versi apk baru bukan nya. Makin lancar malah lemot, not responding. Aplikasi bukannya membantu malah mengganggu. Paket mingguan dan bulanan sudah overprice (dibanding kompetitor),,dengan kualitas 4G yg gak stabil, sinyal 4G serasa 3G. Cukup bintang 1 aja reputasimu my xl"</t>
  </si>
  <si>
    <t>Ricco Yuda</t>
  </si>
  <si>
    <t>"Makin hari makin mahal, tapi internet ilang"an terus, kalo begini mah nyesel langganan XL, mending ganti kartu baru aja dah"</t>
  </si>
  <si>
    <t>Jerry Angkobus</t>
  </si>
  <si>
    <t>"Paket lumayan murah, hanya aja jaringannya yg kurang kuat, harus di perluas aja jaringannya, biar sinyalnya merata dan kuat"</t>
  </si>
  <si>
    <t>Kertin Ningsih</t>
  </si>
  <si>
    <t>"pertama kali pke aplikasi ini, dan baru coba buat beli paket..semoga tdk ada kendala. kalo ada kendala dan tdk bisa terselesaikan dgn baik, sya turunkan bintangnya. tapi alhamdulillah percobaan pertama berhasil"</t>
  </si>
  <si>
    <t>Udzin Hazard</t>
  </si>
  <si>
    <t>"Perbaiki lagi jaaringan nya, tiap hari ngelek terus untuk area pontianak dan sekitar nya. Jangan cuma sms promo mulu dtingkatkan. Kualitas jaringan nya aja dperluas dan dperkuat. Skian"</t>
  </si>
  <si>
    <t>Rafyal Dwi Putra</t>
  </si>
  <si>
    <t>"Tolong lah kepada admin XL, di perbaiki dong sinyal nya kualitas sinyal sangat buruk padahal Agustus lalu masih bagus banget kenapa sekarang makin jelek sinyalnya."</t>
  </si>
  <si>
    <t>I Made Dandi</t>
  </si>
  <si>
    <t>"Nomor saya tidak sengaja diisi kuota double (2 kali dalam sehari), izin bertanya kenapa kuota saya tidak diakumulasi jadi 60 gb (masing-masing kuota 30gb) ?"</t>
  </si>
  <si>
    <t>Baiq Haerunnisa</t>
  </si>
  <si>
    <t>"Saya ada kendala saya beli pulsa di warung nah kan udah bener saya bacain nomor saya pas saya cek kan bcaan notifikasi untuk cek pulsa *123# tapi liat liat pulsa endk ada padahal udah masuk biasa kaya gitu wah endk bener sih xl padahal sya isi 25.000"</t>
  </si>
  <si>
    <t>Priima Miilala</t>
  </si>
  <si>
    <t>"Mohon jaringan XL nya di tingkatkan lagi ya, lebih dari seminggu ini jaringan XL tiba2 lag malah kadang 1 bar pun gada jaringan hanya H aja. Wilayah Sumut, kab Karo kec Barusjahe !"</t>
  </si>
  <si>
    <t>Saputra Ryan</t>
  </si>
  <si>
    <t>"kenapa yah my xl makin kesini makin sering keluar sendiri aneh aku,terus sinyalnya juga suka ilang sendiri,padahal di tempatku suport dengan kartu xl"</t>
  </si>
  <si>
    <t>Gustina Rahayu</t>
  </si>
  <si>
    <t>"Bagus kok jaringan XL didaerah ku, makanya suka, cuma kmrin pas beli Kouta lama masuknya, untung aja ditungguin masuk.. di my XL Kouta nya murah2 jadi seneng wkwk, cuma khusus area si, klau kluar daerah ga tau juga sama atau ga nya,, cuma sering log out sendiri itu kenapa ya?"</t>
  </si>
  <si>
    <t>Akbar Barsyah77</t>
  </si>
  <si>
    <t>"Alhamdulillah sudah ada peningkatan,sinyal sudah tercakup semua dan lumayan kenceng untuk download film, tapi murahin lagi paket nya kalo bisa, Ã°Å¸ËœÂ"</t>
  </si>
  <si>
    <t>Adam Aji Prastyo</t>
  </si>
  <si>
    <t>"Saya mau komplain. Saya beli paket 70GB udah kepake 2.5GB alhamdulillah lancar. Tapi ini kenapa bisa lemot gini ya. Buka chrome gak bisa buka yang lain juga gak bisa. Udah 2 bulan XL begini terus, bulan kmaren juga gitu. Saya beli paket data yg beda, setelah tinggal 10GB lemot. Lemot nya itu pas saya ada dirumah aja. Tapi diluar rumah engga, padahal awal saya beli kalo saya dirumah lancar lancar aja. Tapi setelah paket data terpakai beberapa GB tibatiba lemot lagi ???????? Kenapa ?????"</t>
  </si>
  <si>
    <t>Arizka 12</t>
  </si>
  <si>
    <t>"Saya beli paket data dengan pembayaran menggunakan shoppy pay, tadi di aplikasi shoppy pay sudah terselesaikan pembayaran nya tpi di aplikasi my XL masih menunggu pembayaran, dan alhasil paket data pun belum masuk"</t>
  </si>
  <si>
    <t>Afdal Ramadia</t>
  </si>
  <si>
    <t>"XL dan Axis jaringan gak guna, jelek dan sangat lambat. Tolong di percepat lagi jaringan nya, ntar bangkrut gara" jaringan gak stabil terus"</t>
  </si>
  <si>
    <t>Qodrat Nurc</t>
  </si>
  <si>
    <t>"Tlong lah diperbaiki signal 4G nya,ya tuhan,uda smgguan ,mendung dikit signal h+ ,,,,,mau buka apk apa atau bales email pun susah,,,,, Dr dlu xL kyk gini,mendung dikit signal jelek,apalgi hujan,"</t>
  </si>
  <si>
    <t>21 / 8F I Putu Bagus Arya Basunjaya</t>
  </si>
  <si>
    <t>"Tolong kepada pihak XL tolong untuk sinyal di bener kan karena saya sebagai pengguna xl sangat kecewa karena saya mengirim pesan wa aja tidak bisa bagaimana mau main game. Tolong di betulkan sinyal XLnya, dan Mohon di bawa"</t>
  </si>
  <si>
    <t>Antini Supri</t>
  </si>
  <si>
    <t>"Program produk paket internet XL sesuai kebutuhan saya beserta anak- anak saya , terutama sinyal kuat di Kecamatan Pakualaman Yogyakarta , tempat tinggal kami , terimakasih XL , smg tetap extra selalu ."</t>
  </si>
  <si>
    <t>Hidayatul Iman</t>
  </si>
  <si>
    <t>"myXL memang beda dari yang lain!!!!!!!!!Ã‚Â¡!!!!!!!!!!!!!!!!!!!Ã‚Â¡!!!!!!!!!!!!!!!!!!!!!!!!!!!!!!!!!!!!!!!!!!!!!!!!!"</t>
  </si>
  <si>
    <t>Warsiedie Bodonk</t>
  </si>
  <si>
    <t>"Alhamdulillah no lama yg masih 2G sekarang sudah aktif dan mencoba petualangan baru di XL prioritas dengan 4,5G,semoga tidak lemot dan masih bertahan dg XL axiata TAPI KENAPA INTERNET NYA LOADING DAN KADANG SINYAL SUKA HILANG,MOHON PENCERAHANYA"</t>
  </si>
  <si>
    <t>Zain Zetha</t>
  </si>
  <si>
    <t>"Aplikasi yg sering menyebalkan... katanya klw begini begitu dapat bonus, sy sering sdah melakukan sesuai info, eh ...! Bonus tk dapat2, yg ada paket data masih 1GB/2GB tp ternyata ga bsa di pake, ga tahu pa sebabnya"</t>
  </si>
  <si>
    <t>Moh Rifan F M</t>
  </si>
  <si>
    <t>"Menyedihkan banget cs nya gajelas berhenti disusahin. Sinyal nya ampun dah ditanya rincian tagihan malah keluar. Nyesel banget langganan xl prioritas pokony jangan. Udah tagihan ga jelas padahal jarang make kalo make sinyak lemah kali komplain ke cs ga guna berhenti disulitkan. Tanya rincian tagihan aja bisa bisa nya langsung selesain pembicaraan. Penipu kah?"</t>
  </si>
  <si>
    <t>Grace Posumah</t>
  </si>
  <si>
    <t>"Maaf Sebelumnya, saya ingin bertanya kenapa XL sekarang udah seminggu Jaringannya mati mulai pukul jam 12 malam gituuu, bisakah ada perbaikanÃ°Å¸â„¢Â Terima kasih sebelumnya."</t>
  </si>
  <si>
    <t>Nuhaliza _</t>
  </si>
  <si>
    <t>"Ngelag parah! Aplg pas mau ambil bonus kuota scan vouchet. Suka tiba-tiba keluar sendiri. Kecewa sm xl . Tolong diperbaiki atau saya ganti kartu! Jelek bangettttttttttttt bikin emosiiiiiiiii"</t>
  </si>
  <si>
    <t>Uno Wan</t>
  </si>
  <si>
    <t>"Jaringan xl di tempat saya jelek banget, dipaksa pakai jaringan 4G tapi jaringan 4G nya payah banget, padahal di kota cukup besar. Ã°Å¸â€˜Å½"</t>
  </si>
  <si>
    <t>Mamet Riyadi</t>
  </si>
  <si>
    <t>"Xl makin kesini kok makin turun performa untuk transaksi pembelian kotanya ya aneh banget, masa ini kuota yg harga 13000an malahan motong pulsa 16000an si aneh banget, udah sering banget kaya gini,"</t>
  </si>
  <si>
    <t>Sang Hiang</t>
  </si>
  <si>
    <t>"Xl makin parah,,, pekerjaan jadi terhambat karena sinyal sering hilang, padahal sebelumnya baik-baik saja, ayolah xl... masa iya dibiarkan saja jaringannya bermasalah, bisa-bisa pindah ke tetangga sebelah pelanggannya."</t>
  </si>
  <si>
    <t>Ardana Putu</t>
  </si>
  <si>
    <t>"Saya kecewa sih saat masuk di aplikasi myXL no yg tercantum di aplikasi bukan nomor saya sehingga saat saya mengirim pulsa dan data masuk di no orang lain,"</t>
  </si>
  <si>
    <t>Ya Sofi</t>
  </si>
  <si>
    <t>"Ribet, uda kehabisan kuota bli gesekan biar mudah ini mala suru scan segala, ampun dah. Masalahnya saya g punya apl ini td , mungkin dl iya punya uda di hapus karna hpku lemot. Bkin emosi aja."</t>
  </si>
  <si>
    <t>Mochammad Ridwan</t>
  </si>
  <si>
    <t>"Saya udah mengisi paket xtra combo dan sudah bayar lewat shopee pay. Namun tidak kunjung bertambah kuota saya dan harus rugi 100.000 untuk membeli kuota. Tolong itu dibenahi lagi soal pembayarannya"</t>
  </si>
  <si>
    <t>Jko Purnomo</t>
  </si>
  <si>
    <t>"klau beli paket pakai aplikasi xl trus bayar pakai shopee pay masuk paket nya lama (loading.,,) bikin deg deg kan jantung, beda ama provider sebelah cepat tanpa loading, itu aja sih masukan nya,, semoga bs jadi masukan untuk XL kedepannya"</t>
  </si>
  <si>
    <t>Ara Cakra</t>
  </si>
  <si>
    <t>"Yang membuat saya memilih XL karena adanya bonus pilihan unlimited, sayangnya setiap sehari sebelum habis masa aktif kuota sudah tidak bisa dipergunakan. Semoga bisa dipertahankan dan lebih ditingkatkan layanan signalnya agar kami konsumen tetap setia memilih XL. Terima kasih."</t>
  </si>
  <si>
    <t>Masrizal Rizal</t>
  </si>
  <si>
    <t>"maaf saya kasih bintang 3 dulu, soalnya udah seminggu saya kesusahan buat ngambil paket unlimited saya, setiap sudah mau beli selalu forclosed serasa hp saya gak kuat buat pakai aplikasi myXL ini, padahal ram hp saya 4GB, mohon di perbaiki lagi masalahnya,Terima Kasih."</t>
  </si>
  <si>
    <t>Ghal Official Account</t>
  </si>
  <si>
    <t>"Masukan buat myXL : Kedepannya tolong tambahkan fitur perbaikan/peningkatan layanan (lokasi), sehingga jika disuatu daerah yg sedang mengalami hal tersebut kita dengan mudah mengakses infonya. Misal: di daerah A sedang terjadi peningkatan layanan yang mengakibatkan terjadinya gangguan sinyal/internet, kemudian dengan fitur ini kita bisa cari info lokasi daerah A itu, dan diterangkan bahwa sedang ada peningkatan layanan dan berapa lamanya, sehingga sbg pelanggan kita bisa memakluminya. Thanks :)"</t>
  </si>
  <si>
    <t>Muhammad Ishaq Al Guzman</t>
  </si>
  <si>
    <t>"Kenapa saya,mau aktvin kuota unlimited saya setelah kuota utama habis,selalu coba lagi dan coba lagi,klo sampe hangus kecewa banget sih"</t>
  </si>
  <si>
    <t>Trifena Arni Suci Hapsari</t>
  </si>
  <si>
    <t>"Saya pengguna xl lumayan lama sangat kecewa. Kenapa gagal memuat data terus sih padahal udah di update aplikasinya hp juga uda di restart kenapa masih gagal terus"</t>
  </si>
  <si>
    <t>Aray Aray</t>
  </si>
  <si>
    <t>"Admin... ini udah beberapa kalinya tagihan selalu saya bayar tapi kenapa data paket saya masih 0 KB ya ? Ini udah 4 hari disitu tertera 2 hari kuota akan diriset ulang terus ini gimana penyelesaiannya ?"</t>
  </si>
  <si>
    <t>Abit Abit</t>
  </si>
  <si>
    <t>"Sebenarnya XL sinyalnya bagus di daerah pinggiran kota kediri tapi sangat di sayangkan XL suka memajukan masa aktif harusnya 1 bulan penuh malah di majukan 1 hari setiap isi paket internet otomotis ke potong terus setiap bulannya XL makin parah suka korupsi waktu"</t>
  </si>
  <si>
    <t>Angell Rumengan</t>
  </si>
  <si>
    <t>"Saya beli internet lewat apk ini dan tidak masuk, saya bayar lewat master card dan sudah dipotong. Tolong ditindak lanjuti."</t>
  </si>
  <si>
    <t>Sigit Sugara</t>
  </si>
  <si>
    <t>"Saya tadi mendapat masalah dalam menggunakan aplikasi myxl, namun setelah ada beberapa arahan dari Maya dan agent xl... Aplikasi sekarang sudah berjalan normal. Terimakasih"</t>
  </si>
  <si>
    <t>Maria Indah Lestari</t>
  </si>
  <si>
    <t>"betul betul ya XL, tgl 6 januari isi pulsa terus masih ada sisanya 31rb terus ini pulsanya gakada lg ini dah yg ke2 kalinya begini. mana harga paketnya mahal lg sebulan:("</t>
  </si>
  <si>
    <t>Saepudin 301</t>
  </si>
  <si>
    <t>"Aplikasinya memuaskan , tapi ada satu keluhan dari saya , tolong ya pihak XL axiata tolong banget perbagus jaringan/sinyal XL nya terutama di Karawang , dan harapan saya semoga XL semakin kedepan semakin bagus dan jaya ......"</t>
  </si>
  <si>
    <t>Anto Wijaya</t>
  </si>
  <si>
    <t>"XL sudah bagus banget loh sinyalnya dipedesaan. Tapi kok sekarang sering trouble di daerah pedesaan. Tolong diperbaiki lagi sinyal di daerah pedesaan Trims"</t>
  </si>
  <si>
    <t>Chandra Adjah</t>
  </si>
  <si>
    <t>"xl internet bgus jrigan tlp seluler jga ok.. tpi tolong buat menu apk . xl nya di perbagus lagi .. karna stiap masuk menu apk xl .. sllu susah .. kluar terus harus smpai 3x percobaan baru msuk.. buat hal lain bagus kok.. maju terus buat xl .."</t>
  </si>
  <si>
    <t>Lacta Shatya Osha</t>
  </si>
  <si>
    <t>"Ini kenapa ya jaringan nya bagus sisa kuota masih banyak kenapa pas my xl ini di update kok jadi eror ini gak bisa di buka masih ngeloding mohon di perbaiki lagi ya min:)"</t>
  </si>
  <si>
    <t>Lena Febriani</t>
  </si>
  <si>
    <t>"Aplikasi nya sih bagus semua paket ada,tapi sayangnya harus sering" di update kan kasian kalo orang buru" ga enak, semoga di perbaiki lagi"</t>
  </si>
  <si>
    <t>Echa Swety</t>
  </si>
  <si>
    <t>"Dari semua Jaringan cuma XL yg paling Mahal tapi tidak Berkualitas, masih mending AXIS murah banyak diskon dan penawaran spesial tapi jaringannya sama lemot dg XL, jadi mending pilih yg murah aja klo sama lemotnya"</t>
  </si>
  <si>
    <t>Komar Uddin</t>
  </si>
  <si>
    <t>"Saya beli pulsa 75 ngak masuk SMS malah di apk nya yang masuk.Terus saya beli paket 70 rb 70gb masuk di apk.tapi ngak ada SMS padahal sudah transaksi.Dan pada akhirnya saya nyalain data eh malah ngak bisa ke pake.Tapi di apk nya ada.saya hubungi CS ternyata yang di suguhkan nomor antriannya."</t>
  </si>
  <si>
    <t>Dunia Online</t>
  </si>
  <si>
    <t>"Aplikasi jelek berbayar jika yang katanya grati iya gratis jidatmu mentang2 tidak punya kuota tidak bisa mengecek pulsa lewat aplikasi ini Tidak seperti aplikasi lain nya gratis Semoga pihak XL bisa memperbaiki hal sepele seperti ini"</t>
  </si>
  <si>
    <t>Rahmad Hanafie</t>
  </si>
  <si>
    <t>"saya sengaja isi paket karna ada promo 70gb disc 75% dari *123# sebelum isi juga sudah saya lihat lagi msih ada paket nya saat saya isi pulsa 60k paket itu langsung hilang . kecewa,kesal dan kapok sama XL karna menipu pelanggan . bye"</t>
  </si>
  <si>
    <t>Muhammad Imam Fadil T</t>
  </si>
  <si>
    <t>"Sumpah sekarang XL jelek bangettÃ¢â‚¬Â¦ kemarin lancar lancar aja cuman kenapa sekarang jadi jelek, dari mulai pulsa sering kesedot gajelas, gk bisa aktifin paketan sampe jaringan yang selalu ngilang padahal dulu bagus sekarang kok jadi giniÃ¢â‚¬Â¦ kalo gini trs mending ganti kartu ke yang lain aja"</t>
  </si>
  <si>
    <t>Yusandi Afizena</t>
  </si>
  <si>
    <t>"Sudah terlanjur ngisi paket data, sangat sangat mengecewakan, ternyata xl sampah , gak bisa digunakan di tempatku... buang buang duit ..."</t>
  </si>
  <si>
    <t>Gita Fitri</t>
  </si>
  <si>
    <t>"Saya beli kuota di apk ini . Dan ga ada pertanggung jawab kan atas kuota saya . Jam 5.56 pagi saya beli kuota hari ini . Dan saya udh chat agent nya atas nama maya . Dia ga mau pertanggung jawabkan ata masalah ini . Saya lagi butuh bgt kuota saya buat kerjaan . Saya malah di permainkan seperti ini ..mana etika baik nya . Saya bener Ã‚Â² kecewa bgt ."</t>
  </si>
  <si>
    <t>Eris Riswandi</t>
  </si>
  <si>
    <t>"pilihan paket nya lumayan murah cuma kalau untuk didaerah saya jawabarat khususnya garut setiap sore pasti sedikit ngeleg sinyal nya tp ga terlalu sering, semoga kedepan nya untuk masalah jaringan bisa lebih dimaksimalkan terimakasih"</t>
  </si>
  <si>
    <t>Iron Man</t>
  </si>
  <si>
    <t>"Mohon penjelasan menu deposit untuk apa? Karna fitur tersebut membingungkan, sy pikir setelah deposit akan memotong langsunh tagihan biaya perbulan. Sy sudah deposit 300rb, dan skrg sy gak bisa pakai paket internet, dan setelah sy bayar paket melaui ibanking juga masih belum bisa di gunakan. Jd mohon penjelasan dan kejelasan Bagaimana dengan deposit yg sudah sy isi di aplikasi myXL. Jika sudah ada kejelasan bintang sy upgrade"</t>
  </si>
  <si>
    <t>Zul Fikar</t>
  </si>
  <si>
    <t>"Rumit, mau beli kuota lewat pulsa dipersulit, harus download apk ini dulu, padahalkan blm ada kuota,alhasil pake tarif normal sampe kesedot2 dan gak bisa beli kuota yg di inginkan, ehh pas udah di download aplikasi nya tidak bisa digunakan.....! why"</t>
  </si>
  <si>
    <t>Laras Sejati</t>
  </si>
  <si>
    <t>"Yuk bersatu pindah operator saja ganti simerah apa sihijau karna pakai siputih sinyalnya jelek banget,lemot banget dan makin tidak jelas jaringan sinyalnya !!! Banyak yang komplain bukannya diperbaiki malah kasih masukan pengaduan kekonsumen tidak bermutu dan tidak ditanggapi dengan serius sama sekali !!!!!"</t>
  </si>
  <si>
    <t>Oki Setiawan</t>
  </si>
  <si>
    <t>"Mohon segera di perbaiki jaringan internetnya, belakangan ini jaringan beberapa aplikasi susah di akses, Prioritas 4G berasa H+.. Terima Kasih"</t>
  </si>
  <si>
    <t>Ari Meidayanti</t>
  </si>
  <si>
    <t>"Malam, saya ingin menghentikan langganan paket internet, tapi selalu muncul tulisan terjadi kesalahan, mohon solusinya. TerimakasihÃ°Å¸â„¢Â"</t>
  </si>
  <si>
    <t>Datamso Veriska</t>
  </si>
  <si>
    <t>"Padahal sudah bayar sebelum tanggal 14, tapi tgl 15 dan tgl 16 internet nya tetap tdk bisa di pakai, akhirnya sy isi pulsa Indosat. Kapok sy pakai XL, taik"</t>
  </si>
  <si>
    <t>Ferry Sutan</t>
  </si>
  <si>
    <t>"untuk fitur lumayan...akurasi transaksi sangat buruk....tidak ada singkronisasi dari pemotongan dana dan notifikasi...rentan untuk penipuan.terimakasih sebalumnya kalau ditindak lanjuti...saya merasa dirugikan oleh aplikasi ini untuk transaksi pembelian paket ."</t>
  </si>
  <si>
    <t>Agda Saputra</t>
  </si>
  <si>
    <t>"Semakin lama kenapa semakin lemot ya jaringannya, awal beli biasaÃ‚Â² aja tidak terlalu bagus jg, skrg knp jadi lemot bgt untuk nerima pesan dari whatsapp saja gk bisa, apalagi buat buka aplikasi myXL ini. Juga ingin ku berkata kasar tentang hal ini "Buka myXL, Gratis, Tanpa Kuota"."</t>
  </si>
  <si>
    <t>Narimarima _13</t>
  </si>
  <si>
    <t>"Sebelumnya minta maaf kenapa nggak bisa buat stop langganan ya soalnya saya beli paket baru tp nggak bisa di gunakan karena masih ada sisa paket boster combo lite sebelumnya dan suruh nungguin masa aktifnya habis sedangkan hanya bisa buat WhatsApp itupun Lola sekali jadi lama dan sia" beli paket baru lagi"</t>
  </si>
  <si>
    <t>Nayla</t>
  </si>
  <si>
    <t>"kok xl ku gak ada sinyalnya sama sekali???padahal udah beli kuota?!? trus ini juga bukan di daerah pergunungan atau hutan?!?! tolong diperbaiki masalahnya!!!! kalo begini terus saya bisa rugi!!"</t>
  </si>
  <si>
    <t>Atawolo Yoseph</t>
  </si>
  <si>
    <t>"Saya mengalami kesulitan untuk mengisi pulsa melalui aplikasi ini. Menunya selalu gagal terbuka. Sudah hubungi CS, tetap saja, tindak lanjutnya belum ada juga"</t>
  </si>
  <si>
    <t>Dinda Nda</t>
  </si>
  <si>
    <t>"Belakangan ini sinyal xl jadi jelek bgt lemot padahal dulu bagus bgt . Entah knp pas cek kuota di apk MYXL ko kuotanya kagaa ada kaga tau knp padahal baru aja beli . Kuotanya si kaga ilang cuma ilang di apk nya aja jadi kan kaga tau sisa brp kuotanya . Jadi harus cek manual . Tolong diperbaiki lg seperti dulu min"</t>
  </si>
  <si>
    <t>Adi Hulk</t>
  </si>
  <si>
    <t>"xk sekarang lebih lancar dn yg pasti murah banget....pas lah buat kita kita......mari teman2 yg blm pakek xl selakah cek xl lebih terjangkau lebih lancar lebih murah yg oasti......"</t>
  </si>
  <si>
    <t>Sauf Ramadani</t>
  </si>
  <si>
    <t>"Pulsa saya sering habis padahal udah masang paket internet dan menggunakan jaringan wifi.. Tapi mengapa saldo pulsa zaya sering habis?? Apakah ada kesalahan sistem atau bug??"</t>
  </si>
  <si>
    <t>Hari Santoso</t>
  </si>
  <si>
    <t>"Selamat sore, sekilas info untuk xl harga paketan nya kompetitif... Tapi sayang jaringan nya belum merata. Saya tinggal di pinggiran Pare Kediri. Kalo di tempat kerja jaringan nya lancar tidak ada kendala. Tapi begitu pulang sampai rumah... Hilang sinyal nya ndak bisa buat apa apa.. padahal saya berharap bisa lancar di mana pun juga.. terima kasih"</t>
  </si>
  <si>
    <t>Indra 78</t>
  </si>
  <si>
    <t>"Kenapa klo selesai hujan, apalagi klo hujan angin kok signal mendadak hilang, beda jauh ma produk sebelah yg tahan di segala kondisi &amp; daerah terpencil sekalipun, gini suruh betah pakek beginian, boleh murah tp jgn murahan lah, utamakan kualitas &amp; service yg bagus."</t>
  </si>
  <si>
    <t>Isnaini Azzahra</t>
  </si>
  <si>
    <t>"Bintang 5 biar dibaca. Saya beli kuota di apk myxl pakai pembayaran gopay, saldo gopay terpotong tetapi kuota belum masuk. Tolong dikondisikan lagi masalah2 seperti ini, ini sangat merugikan customer. Sudah lapor ke ig sosmed belum ada respon juga. payah Ã°Å¸â€˜Å½Ã°Å¸â€˜Å½Ã°Å¸â€˜Å½"</t>
  </si>
  <si>
    <t>Naara M</t>
  </si>
  <si>
    <t>"Mau bt pin baru si my xl, susah bgt, erir, di live chat solusinya hai saya mayaa ...tunggu sdg dlm pengecekan. Jadi yg bls robot dan ga jelas apa solusinya. Gila ga saya disuruh nunggu smp 30 menit. Pdhl pengecekan hny lewat komputer sistem. Apa perlu di tulis surat saya si media sosial ttg bintang 0 bt agent xl si maya tuh. Ga becus kasih solusi. Terimakasih"</t>
  </si>
  <si>
    <t>Itha Indiana</t>
  </si>
  <si>
    <t>"Sudah registrasi, cek di *123*4444# udah teregistrasi dengan NIK ***, tapi pad mau cek *123# malah muncul menu tidak tersedia, pastikan no anda telah aktif."</t>
  </si>
  <si>
    <t>Allaroundus Still</t>
  </si>
  <si>
    <t>"Halo, saya sudah beberapa hari tidak bisa akses internet padahal kuota baru saja diisi. Saya jadi terpaksa pakai SIM-card dari provider lain untuk akses internet karena saya perlu akses internet untuk kerja. Coba hubungi live chat di app myXL pun tidak bisa tersambung. Mohon solusinya, terimakasih"</t>
  </si>
  <si>
    <t>Aku. Inatuz Zahroh</t>
  </si>
  <si>
    <t>"Mohon di benahi masalah jaringan dong,,, plizzzzzzzzzzzzzzzzzz Terutama saat musim hujan gini, saya sekeluarga pake xl kalau signal kaya gini jadi repot semua,,, Ã°Å¸â„¢ÂÃ°Å¸â„¢ÂÃ°Å¸â„¢Â"</t>
  </si>
  <si>
    <t>Merry Kristina Dachi</t>
  </si>
  <si>
    <t>"Akhir" ini kok sinyal XL gak bagus yah?? Pada hal udah seneng banget pakai kartu XL karena lancar.. sekarang jaringannya no good... Jadi rempong dengan kerjaan yg harus menggunakan banyak kuota... Jadi gak beres klo jaringan gak bagus... Mohon donk jaringan XLnya dibaguskan lagi... Terima kasih.."</t>
  </si>
  <si>
    <t>Aang Kurni</t>
  </si>
  <si>
    <t>"Xl jaringan sudah bagus ,Internet bagus, cuma masa aktif nya jgn pelit lah,masa kalah provider yg lain semakin banyak di isi pulsa makin tambah masa aktif nya"</t>
  </si>
  <si>
    <t>Ghost Cyber</t>
  </si>
  <si>
    <t>"Buat XL AXIATA 1.tolong jaringan di maksimalkan..masa pas mendung atau hujan malah ngilang Ã°Å¸Ëœâ€˜ koneksi terputus padahal loh saat saat itulah saya membutuhkan koneksi internet entah itu buat streaming maupun main games 2.kalau bisa tambahin lah paket weekend seperti saudaramu AXIS Ã°Å¸ËœÂ dan harga yg lebih murah lagi..karena dari awal pakai hp jadul nokia tulit tulit hingga sekarang saya pengguna setia XL Ã°Å¸ËœÅ  Kukira itu saja sih sebenarnya masih banyak lagi yg ingin ku sampaikan..sekian terima kasih"</t>
  </si>
  <si>
    <t>Ã¢Â‚¬Â¢ Senpai Ã¢Â‚¬Â¢</t>
  </si>
  <si>
    <t>"Halo Dev, Saya Membeli Kuota 6gb tapi kenapa kena limit speed nya? tidak bisa melebihi 100kb/s jadi percuma saya membeli kuotanya , terus saya coba cuma bisa jam 1-3 malam, anda kira saya kelelawar gitu ?. mohon di perbaiki yak , kalau sudah di fix aku kasih rate 5 . -mar"</t>
  </si>
  <si>
    <t>Rezhasck Official</t>
  </si>
  <si>
    <t>"Saya isi pulsa 75000 trus beli paket yang 71000 tapi pas nyalain data sisa pulsa nya tetep ke sedot kenapa ya?? Mohon d perbaiki,,trus juga keterangan paketnya tu dapet bonus kuota aplikasi 8 GB tapi yang masuk cmn kuota utama sama kuota daerah..kuota bonusnya d kemanain???"</t>
  </si>
  <si>
    <t>Nobel Dj</t>
  </si>
  <si>
    <t>"Sya kurangin 3 bintangnya.. Selama ini udh sering isi pulsa 100 ribu terus,kok nggk ada yg murah paketnya..orng lain jarang isi pulsa malah murah meriah paket di my xl mereka.. Payah.."</t>
  </si>
  <si>
    <t>Beni Murdiyanti</t>
  </si>
  <si>
    <t>"Gak bisa masuk ke aplikasi my xl, terjadi kesalahan terus, saya chat live tidak ada balasan yang bisa membantu, malah cuma di ulang2 gak jelas, gimana lah xl ni, bikin emosi aja"</t>
  </si>
  <si>
    <t>M Yusuf Reza Ashari</t>
  </si>
  <si>
    <t>"saya sangat senang menggunakan xl karena untuk harga kuotanya relatif terjangkau, meskipun di cianjur khususnya ditempat saya tinggal daerah jalan baru jonggol sinyal provider xl ini suka kurang atau tiba tiba edge seketika di beberapa tempat. Untuk kedepannya saya mohon, provider xl bisa lebih meningkatkan jangkauan sinyalnya di daerah daerah agar kepercayaan customer terhadap provider xl ini lebih memuaskan, tolong diimprove ya terkait case sinyal ini karena kepuasan pelanggan no 1. Thank u xl"</t>
  </si>
  <si>
    <t>Ghizca Swastika</t>
  </si>
  <si>
    <t>"XL jaringan nya ga stabil, apalagi pas musim hujan. Pengisian pulsa dan paket di aplikasi myxl pun aneh, ga sesuai dengan syarat dan ketentuan. Apalagi soal bonus atau jam ketentuan dll, ga sesuai janji manismuuu."</t>
  </si>
  <si>
    <t>Akhmad Faozan</t>
  </si>
  <si>
    <t>"Kami berharap ke depan aplikasi MyXL lebih tepat guna tidak banyak nenu basa basi. Kelemahan aplikasi MyXL : 1. Tidak ada notifikasi ber alarm untuk mengingatkan bahwa kuota hampir habis sehingga saat kuota internet sudah habis, pemakai tidak bisa membuka aplikasi. 2. Auto debet hanya bisa dengan kartu kredit. 3. Pemberitahuan di email kurang tepat, harusnya di SMS atau WhatsApp"</t>
  </si>
  <si>
    <t>Rafi Dwi Ramadhan</t>
  </si>
  <si>
    <t>"beli pulsa 50k niatnya mao paketin kuota sendiri eh belom 5menit itu pulsa kesedot sendiri..kejadian udah 4kali, total 200k hangus,kenapa kalian ambil pulsa saya?jangan hanya minta maaf ,apa kalian bisa ganti rugi?saya pake XL udah lama kenapa jadi kaya gini?kalo ada niatan ganti rugi saya tunggu via email,terima kasih..semoga tidak terulang lagi!"</t>
  </si>
  <si>
    <t>Hendra Suganda</t>
  </si>
  <si>
    <t>"Makin kesinih makin mahal, bukannya makin murah, ini mah malah makin mahal. Voucher xl pun sekarang jadi mahal, terus daftar paket di apk myxl pun mahal2. Data edukasi tu percuma gk bisa dipakai, kebeli tapi gak bisa dipakai, kan sudah tidak lagi belajar, tolong dong sesuaikan dengan registrasi dari IKTP dong."</t>
  </si>
  <si>
    <t>Thalia Halimah</t>
  </si>
  <si>
    <t>"Ini xl kenapa sihhh..udh jaringan sering jelek,saya beli paket pun nggak masuk masuk padahal pembayaran sudah di lakukan,aplikasinya sering keluar sendiri...haduh"</t>
  </si>
  <si>
    <t>Jenriko Sitinjak</t>
  </si>
  <si>
    <t>"Saya kurangi bintangnya yang dari 5 ke 2, selalu upgrade apk tapi tidak ada perubahan yang signifikan.. Saat ingin check quota sering lag atau tidak muncul.. Buka aplikasi juga lambat"</t>
  </si>
  <si>
    <t>Yudha Muhammad</t>
  </si>
  <si>
    <t>"Kuota mau habis? Gunakan pulsa siaga Rp 12000 seharga Rp 14400, akan kami potong pada pengisian pulsa berikutnya. Balas OK untuk menerima Maksud dari spam chat ini apa yah ,setiap hari pasti ada ,dan ganggu sinyal nya"</t>
  </si>
  <si>
    <t>Nas Rullah</t>
  </si>
  <si>
    <t>"Kouta bonus aplikasi combo plus saya 18GB tidak bisa di gunakan padahal saya beli banyak, saya coba menyelesaikannya di live chat anehnya ga bisa membantu sudah antri lama,sudah terhubung malah antri lagi nomernya antrian 22,kan parah....sampah sekarang tidak bisa mengambil bonus aplikasi 18GB 1bulan sudah menggunakan versi terbaru 5.5.9"</t>
  </si>
  <si>
    <t>Sami'An Zahri</t>
  </si>
  <si>
    <t>"Perhitungan kuota prioritas yg gk bisa dimengerti customer,,,gua langganan prioritas dg jatah kuota 40G per bulan dan tlp 150mnit,,tp dipake tlp kena biaya lain, kuota kepake 1 g ada estimasi tagihan 158rb,, kalo daftar prioritas cukup by phone, tp jika mau berhenti berlangganan gk bisa by phone,, operator aneh kesannya jd seperti pemalakan"</t>
  </si>
  <si>
    <t>Daim Wonx</t>
  </si>
  <si>
    <t>"Tiga bintang dulu,signal XL nya kalo video call gambar pecah-pecah,suara putus-putus. Tolong diperbaiki dan ditingkat kan kualitas signal nya trima kasih."</t>
  </si>
  <si>
    <t>Adel Arrumman</t>
  </si>
  <si>
    <t>"Halo pihak XL, saya mau minta pertanggungjawaban, karena pulsa saya kepotong 18.000 stelah mendownload my XL, jika ingin mencari keuntungan jgn seperti ini, ini sama dengan merugikan pengguna XL Dan tidak ada tanggapan dari live chat. Sangat buruk sekali"</t>
  </si>
  <si>
    <t>New Berkah Official</t>
  </si>
  <si>
    <t>"Mau buka app nya ajja setengah mati lama nya, maaf bukan nya ngejelek2in tp fakta, sy komplen ini ke myxl yah bukan ke provider xl. Biar ada pengembangan, peningkatan."</t>
  </si>
  <si>
    <t>Sahrain Djakaria</t>
  </si>
  <si>
    <t>"Jaringan sangat tidak stabil. Bukan 1 kali 2 kali. Hampir tiap hari. Kadang hilang sendiri. Paling lama sejam hilang loh. Apasih. Internetan malah bikin darting. Pelayanan CS nya jga kagak jelas. MAYA MAYA MAYA. Langsung to the point. Pemecahan masalah. Gk pake ribet. Udah jaringan lelet + penanganan sangat tidak memuaskan"</t>
  </si>
  <si>
    <t>Gientae Marfales</t>
  </si>
  <si>
    <t>"Gila. Kesel banget gua nih. Setiap beli pulsa langsung kepotong gak tau kenapa. Udahlah kepotong nya banyak banget lagi. Kayak maling aja. Se harunya gk bisa kayak gini dong harus tangung jawab"</t>
  </si>
  <si>
    <t>Catur Juliyanto</t>
  </si>
  <si>
    <t>"Mau di kota atu di kampung. Sama aja jaringannya lemot mau pake paket yg VIP pun juga gak ngaruh.. XL bangkong... Liat ratting ulasan ternyata sama keluhannya. Liar binasa Ã°Å¸â€˜â€¹Ã°Å¸â€˜â€¹Ã°Å¸â€˜â€¹"</t>
  </si>
  <si>
    <t>D Priy</t>
  </si>
  <si>
    <t>"Tolong jangan dihapus lagi lah, ini demi kebaikan pengguna yang lain, tolong sediakan pembelian kuota dengan SMS, kasihan pengguna yang sinyalnya tindak mendukung"</t>
  </si>
  <si>
    <t>Mira Ajaah</t>
  </si>
  <si>
    <t>"Ini SMS dari 4444. Nomer Anda sudah diaktifkan sebelumnya. Untuk registrasi ketik : DAFTAR#NIK#NomorKK kirim ke 4444. Tetapi tetap saja no XL baru beli ini tidak bisa di pakai. Padahal masa berlaku s/d 31 Maret 2022"</t>
  </si>
  <si>
    <t>Muhammad Aji</t>
  </si>
  <si>
    <t>"please lah XL salah saya apa kenapa saya beli pulsa kepotong nya gede bngtttttttt jadi gk bisa buat ke paketan,apa itu bukan malinggggg,padahal saya gk nyalain data!!!dasar XL penipu maling jijik gw pake xl"</t>
  </si>
  <si>
    <t>Muh Syaifulloh</t>
  </si>
  <si>
    <t>"Hai min, emang xl ada masalah ya, dirumah saya biasanya sinyalnya lancar jaya, tapi kok akhir akhir ini ga ada sinyal, padahal kuota masih banyak hehee"</t>
  </si>
  <si>
    <t>Rasyid Akmal</t>
  </si>
  <si>
    <t>"Sering keluar sendiri saat mau buka aplikasinya, jadi terganggu. Padahal kondisi sinyal, hape, segala macem baik baik aja. Tapi overall berguna kok fiturnya."</t>
  </si>
  <si>
    <t>Ohan Rohanda</t>
  </si>
  <si>
    <t>"Bagus untuk kontrol kuota krn bisa cek secara detail.. tapi kadang harus selalu update kl g update muncul tulisan " tunggu 30 detik " udh diklik lanjutkan msih kluar tulisan itu... Ã°Å¸Ëœâ€œÃ°Å¸Ëœâ€œ"</t>
  </si>
  <si>
    <t>Ernawati Wati</t>
  </si>
  <si>
    <t>"Gini loh yah saya beli paket 6GB saya pas itu 1GB besok nya 1GB jadi total nya 2GB malamnya saya mau buka tik tok gk bisa ternyata paket nya udah habis ini maksudnya apa yh? Saya beli itu pake uang loh bukan pake daun 4GB nya hilang kemana pas saya cek udah 0KB ini gimana yh??? Saya juga udah hemat loh buat beli paket saya udah muyak kalau kayak gini. Di perbaiki lagi yh semoga lebih bagus dan harus sama GB yg di tulis di paket nya jangan cuman tulisan aja!!!!Ã°Å¸Ëœâ‚¬Ã°Å¸â„¢ÂÃ°Å¸ÂÂ»"</t>
  </si>
  <si>
    <t>Gema Prajna Tri Pamungkas</t>
  </si>
  <si>
    <t>"Mantap kritik dan saran saya didengar oleh pihak XL, sekarang saya ga takut lagi pulsanya hilang karna sms langganan yg tak jelas maupun terkuras karna internet diluar quota. Good JoB, tinggal perbaiki masalah jaringan ditempat saya."</t>
  </si>
  <si>
    <t>Wisam Dita</t>
  </si>
  <si>
    <t>"Assalamualaikum Kepada pihak XL yang terhormat, mohon bantuannya Saya sudah memasukkan nomor yang benar tetapi pada saat saya klik "lanjutkan", muncul tulisan: "Sedang Terjadi Kesalahan. Maaf, saat ini Anda belum bisa masuk dan menggunakan layanan myXL. Silakan coba beberapa saat lagi. (Kode: )" Mohon bantuannya Terima kasih Ã°Å¸â„¢Â"</t>
  </si>
  <si>
    <t>Bocah Gaming</t>
  </si>
  <si>
    <t>"Jaringan nya bagus banget !!!!!!!!!!!!!!!!!!!!!!!!!!!!!!!!!!!!!!!!!!!!!!!!!!!!!!!!!!!!!!!!!!!!!!!!!!!!!!!!!!!!!!!!!!!!!!!!!!!!!!!!!!!!!!!!!!!!!!!!!!!!!!!!!!!!!!!!!!!!!!!!!!!!!!!!!!!!!!!!!!!!!!!!!!!!!!!!!!!!!!!!!!!!!!!!!!!!!!!!!!!!!!!!!!!!!!!!!!!!!!!!!!!!!!!!!!!!!!!!!!!!!!!!!!!!!!!!!!!!!!!!!!!!!!!!!!!!!!!!!!!!!!!!!!!!!!!!! Tapi boong"</t>
  </si>
  <si>
    <t>Dava Fadel Arfansyah</t>
  </si>
  <si>
    <t>"Kenapa pulsa saya terpotong padahal saya menggunakan WiFi? Dan saya juga tidak punya hutang pulsa di XL, bisa tolong jelaskan? Saya sudah bertanya kepada Maya, namun tidak ada balasan"</t>
  </si>
  <si>
    <t>Aulia Lia</t>
  </si>
  <si>
    <t>"Harusnya makin lama,makin bagus ini malah makin lama makin lemot jaringannya. Pas awal pake xl suka karna jaringannya bagus sekarang malah jaringan 4G tapi loading sampai batrei habis,miris"</t>
  </si>
  <si>
    <t>Ravqi Deel</t>
  </si>
  <si>
    <t>"Tidak ada pengaturan non aktif paket yg telah di beli tanpa menghilangkan paket tersebut sebelum masa aktif berakhir, sehingga klo mau mengaktifkan paket yg lain ga bisa krna otomatis memilih paket sebelumnya"</t>
  </si>
  <si>
    <t>Dadi Priana</t>
  </si>
  <si>
    <t>"Karna saya selalu di persulit ketika mau balik lagi ke XL prabayar padahal tagihan sudah saya bayar semua tapi kenapa proses nya lama dulu aja pas mau daftar ke XL pascabayar di proses nya gak lama.Ã°Å¸ËœÅ’Ã°Å¸ËœÅ’ Intinya saya mau balik lagi ke XL prabayar nanti baru di kasih bintang 5"</t>
  </si>
  <si>
    <t>Viany Juliana Seran</t>
  </si>
  <si>
    <t>"Cukup membantu untuk beli paket kuota dan cek status kuota.. tp sayang klo ada 2 paket aktif kenapa yg berkurang duluan yg masa aktifnya lebih lama.. aneh sii.. mohon diperhatikan dan diperbaiki yaa.. trimakasih"</t>
  </si>
  <si>
    <t>Hadi Pajawan</t>
  </si>
  <si>
    <t>"Kalau ada kolom NOL bintang saya akan pilih kolom NOL bintang, sebab tidak pantas walau cuma untuk satu bintang, sebab sinyal lelet lemoot ditambah listrik PLN mati/aliran, maka tambah lemoot leletÃ°Å¸â€˜Å½"</t>
  </si>
  <si>
    <t>Tania Maharani</t>
  </si>
  <si>
    <t>"Sinyal sering drop, sering sinyalnya tiba-tiba hilang (lagi dijalan, padahal cuaca cerah, gak mati listrik), gagal memuat data saat menggunakan aplikasi, tidak bisa beli beberapa paket internet sekaligus atau harus satu-satu baru bisa, harga paket internet yang terus mahal padahal kualitas tidak sesuai, ping internet tidak stabil dan sebenarnya masih banyak lagi. Untuk overall bagi pengguna yang sabar mungkin masih recommend menggunakan provider ini. Semoga bisa lebih baik lagi kedepannya!"</t>
  </si>
  <si>
    <t>Chan Shin Liang</t>
  </si>
  <si>
    <t>"Aplikasi ini 5.5.9, aplikasi eror, terutama karena xtra combo plus tidak bisa buka. Bonus tidak ada. Masih terbaik 5.5.0, semoga bisa membantu."</t>
  </si>
  <si>
    <t>Oky Arwanto</t>
  </si>
  <si>
    <t>"Apa gunanya ada program swadaya untuk MITRA DRIVER GOJEK. namun tidak bisa di akses.. sejak desember halaman tidak bisa di akses bahkan dr aplikasi My XL pilihan paket tidak tampil zonk. Saya pelanggan XL dari 2007 sampai sekarang tapi tidak ada bonus atau reward apapun yang saya dapat melainkan RASA KECEWA Ã°Å¸Ëœ Ã°Å¸Ëœ Ã°Å¸Ëœ"</t>
  </si>
  <si>
    <t>Fajar Siregar</t>
  </si>
  <si>
    <t>"Untuk update saat ini cukup lumayan bagus,tetapi pada fitur *KONTROL PULSA* tetap di tingkatkan lagi fiturnya. Dan di fitur Live Chat Asisten Virtual Maya sudah lumayan bagus,tapi ketika mengakses nya sedikit ada "lagging" Juga pada fitur cek area/device VoLTE/4G sedikit mengalami nge - "Freez" disaat itu juga mengalami sedikit peningkatan suhu pada device."</t>
  </si>
  <si>
    <t>Kura Kelantang</t>
  </si>
  <si>
    <t>"Lumayan suka saya selama makai krtu XL AXiata cukup membantu. Tetapi jaringan sering hilang mohon jaringanx di tingkatkan lagi,,,,saya kasih Ã¢Â­Â3 dlu nanti makin bagus jaringanx saya tmbah Ã¢Â­Â lgi..... Terima kasih"</t>
  </si>
  <si>
    <t>Nanang Hermawan</t>
  </si>
  <si>
    <t>"Sinyal XL sungguh hancur di daerah Gresik kecamatan Benjeng. Kadang sudah 4G+ buat main game tibaÃ‚Â² jadi H. Alhasil main game online jadi amburadul. Kalah terus garaÃ‚Â² sinyal yg hancur. Tolong di perbaiki kalau gak mau kalah sama yg lain. Kalau gini terus nomer XL saya hanguskan biar jera."</t>
  </si>
  <si>
    <t>Mbah Nyumput</t>
  </si>
  <si>
    <t>"Apk.bagus. tp sinyal jlk banget hari ini. Dari pagi E terus. Apalagi klo hujan. Sy skrg d jln Baturaja jakpus. Sering d bully sm rekan krj krn pke XL. ini bukan nyinyir y,tp masukan utk XL. Krn sy ttp pke XL."</t>
  </si>
  <si>
    <t>Umar Yono</t>
  </si>
  <si>
    <t>"Pengen beli paket data kok kosong.... udah update 2x sampe hapus data.... tetep aja NIHIL.... Mana my XL ?????? Jaringan buat sy dah lumayan ...tapi kaga bisa beli paket...."</t>
  </si>
  <si>
    <t>Edi Supriadi Supri</t>
  </si>
  <si>
    <t>"Ini apa apl nya apa sinyalnya sih !!? Pas di buka malah ada tulisan "Coba lagi coba lagi coba lagi" trus aja gitu...kayanya dua duanya dech !!"</t>
  </si>
  <si>
    <t>Nur Rohman</t>
  </si>
  <si>
    <t>"Saya pengguna kartu perdana xl yang cukup lama sangat kecewa, Setiap kali isi pulsa selalu terpotong 1000/harinya padahal tidak di gunakan sama sekali dan anehnya setiap hari ada sms "(Anda sedang menikmati internet dengan tarif normal Rp1rb/MB. Mau YOUTUBE tanpa kuota? Pilih Pkt XTRA Combo di *123#") padahal jaringan seluler menggunakan perdana yang lain Dan kejadian ini bukan saya saja yang mengalaminya."</t>
  </si>
  <si>
    <t>Muhammad Zakwan</t>
  </si>
  <si>
    <t>"Awal tahun sampe tanggal sekarang jaringan jelek banget, buat lu yang blm pake xl mending jangan dah, xl lagi ancur-ancurnya gak ada perbaikan sinyal, nonton yutub 144 aja ngeleg terus, kebayangkan lu mau chatingan kayak apa, xl cacad."</t>
  </si>
  <si>
    <t>Jeje Lynn</t>
  </si>
  <si>
    <t>"Mohon di infokan... Saya daftar untuk tambah kuota... Kuota lama saya malah hilang... Pdhl kuota lama saya masih banyak... Biasanya nggak apa apa ... Tolong kembalikan kuota saya!!!"</t>
  </si>
  <si>
    <t>Abdurrahman Tralala</t>
  </si>
  <si>
    <t>"Mohon maaf pak, kenapa pas kena update malah sering gagal loding,mau bagi paket malah dirusuh bikin pin pas udah mau bikin pin eeee malah erorr, trus kode verifikasi datang pas sya keluar dri app, kan ini bencana adik adik"</t>
  </si>
  <si>
    <t>Arsan Puput</t>
  </si>
  <si>
    <t>"aplikasinya bagus top lah buat XL................. ........................................................................................................................................................................................................................................................................................................................kenapa aku kasih bintang 4 soal nya masih ada yg kurang baik ya itu sering keluar dengan sendirinya tolong di perbaiki lagi aplikasinya"</t>
  </si>
  <si>
    <t>Agung Heru Gs</t>
  </si>
  <si>
    <t>"Hati-hati xl,jika terlalu sering bermasalah jaringan internetnya maka pelangganpun akan semakin cepat meninggalkanmu. Dan beralih ke provider yang merah. (Sekarang bintang saya naikan menjadi 5,karena sudah lebih baik lagi)"</t>
  </si>
  <si>
    <t>Hesty Togatorop</t>
  </si>
  <si>
    <t>"Sinyal sangat buruk, kuota banyak sering tidak habis, hanya krn sinyal bisa mati berjam2 dan itu berulang tiap harinya. Bar sinyal ada, tpi tidak bisa konek ke jaringam internet. Seperti hanya utk pajangan saja. Uda hubungi "Maya", tp ga ada perubahan. Sangat mengecewakan."</t>
  </si>
  <si>
    <t>Gustiliant</t>
  </si>
  <si>
    <t>"pihak xl tolong konfirmasinya ya ,saya beli unlimited premium harga 50.000 untuk sebulan, tapi kenapa cuma bisa sampai 7 hari aja, tolong tanggung jawabnya ini bukan pertama kalinya ya"</t>
  </si>
  <si>
    <t>Hen Wjy</t>
  </si>
  <si>
    <t>"Untuk live chatnya mohon diperbaiki, pelayanannya tolong dipercepat. Kasihan yang sudah lama menunggu antrian tetapi saat sudah mendapatkan giliran malah pelayanannya lelet. Terima kasih"</t>
  </si>
  <si>
    <t>Syariyani Ardhy</t>
  </si>
  <si>
    <t>"Aplk nya berat...klo di buka lama banget muter nya.... Klo promo2 nya aq suka...terus tingkat kan dan di tambah trs promo2 nya....signal nya juga bagus di daerah ku.."</t>
  </si>
  <si>
    <t>Bulan Vip</t>
  </si>
  <si>
    <t>"Apakah terjadi ke saya aja atau pengguna lain? Mau masuk myxl g bisa, gmn ngeklaim unlimited. Beli paketan klo masuk app aja gak bisa.. sampe detik ini gak bisa. Udh berminggu2."</t>
  </si>
  <si>
    <t>Rendy Airlangga</t>
  </si>
  <si>
    <t>"terkadang aplikasinya masih suka susah untuk di buka...dan juga update sisa kuota paketnya selalu suka berubah-ubah.....walaupun cukup membantu...lebih ditingkatkan lagi saja aplikasi nya min....agar pelanggan juga puas dengan mendownload aplikasi ini...."</t>
  </si>
  <si>
    <t>Wiratama Channel</t>
  </si>
  <si>
    <t>"Saya kurangin lgi bintangnya, Jujur pembagian kuota youtube buat apa? Kalau setiap buka youtube yang kesedot malah kuota utama, setelah kuota utama habis nggak bisa buka youtube padahal paketan kuota youtube masih utuh,, pemodohan kalo bgni caranyaÃ°Å¸Ëœâ€ Tolong kenyamanan dan kepercayaan pelanggan di prioritaskan, makasih"</t>
  </si>
  <si>
    <t>Dwiky</t>
  </si>
  <si>
    <t>"Sebenernya udah bagus dulu, tapi sekarang kok malah bikin stres sih sinyal lah gangguan lah udah direstart berulangkali loh masih aja, punya kuota juga masih banyak. Kasih solusi dong buat daring nya itu loh susah"</t>
  </si>
  <si>
    <t>Amanda Afa</t>
  </si>
  <si>
    <t>"Kuota masih 12 GB, unlimited juga nyala! Tapi kenapa buat buka aplikasi xL saja eror? Buka youtube juga muter terus?? Sudah berulang kali matiin data matiin daya, berulang kali tetap sama ? Kuota tidak bisa di pakai??"</t>
  </si>
  <si>
    <t>Veny Ananda</t>
  </si>
  <si>
    <t>"Belakangan ini sinyalnya kek taik !!! Gw dari kartu 3(tri) gw bela2in pindah xl !! Jangan sampe ini berkelanjutan yaa !!! Tolong secepatnya jangan gampang trouble sinyalnya !!! Kalo mendung hujan gw maklumin ! Lah ini cerah bet masak trouble mulu !!! Ã°Å¸Ëœâ€¢Ã°Å¸Â¤Â¨"</t>
  </si>
  <si>
    <t>Joko Ae</t>
  </si>
  <si>
    <t>"Tolong kalau punya aplikasi yg bener dong perbaikan updatenya, masa buka my XL masukin akun baru selalu alesan "koneksi bermasalah" sekalinya nonton yt dll, lancar jaya. Buat apa tiap minggu ada update kalau hasilnya kayak gitu.. GEBLEKK"</t>
  </si>
  <si>
    <t>Rizka Aditiya</t>
  </si>
  <si>
    <t>"Woi Provider Sampah Tolol. Kuota masih kok internet nggak jalan Asu. Dipake main game kek siput jumping mulu. Provider sampah asu kek gini bisa jadi provider terlaris ke-2 lawak konyol."</t>
  </si>
  <si>
    <t>Boss_Oman</t>
  </si>
  <si>
    <t>"Permisi, kenapa sekarang jaringan sering eror? Padahal sinyal penuh 4G tapi pas buka game yang pake kuota tidak bisa muter" terus. Tolong diperbaiki lagi masalahnya sebelum saya ganti kartu yang lebih baik terimakasih."</t>
  </si>
  <si>
    <t>Ridwan Maulana</t>
  </si>
  <si>
    <t>"Parah banget njirr XL, gw isi pulsa yang 20k,gk aktifin data pulsa gw ke ambil mana ke ambilnya 12k lagi, tinggal sisa 8k lagi, padahal gw mau beli paket game ML yang 10k,eh pas gw ngisi pulsa lagi yang 5k malah paket game ML yang 10k 10gb malah gk ada males banget gw,terpaksa dah gw beli yang 9k 3gb dan itupun cuma 7 hari,padahalkan dulu 10k 10gb 1 bulan, sumpah gw nyesel banget ama XL sekarang!"</t>
  </si>
  <si>
    <t>Sinar Cell</t>
  </si>
  <si>
    <t>"Saya beri 1 bintang karena kenapa pulsa saya dikuras sama operator padahal saya tidak menggunakan kartu itu dan saat saya beli paket,paketnya tidak masuk tapi pulsanya yg dikuras, saya mohon agar APK di peebaiki"</t>
  </si>
  <si>
    <t>Ganyong Clavers</t>
  </si>
  <si>
    <t>"Saya kecewa kemarin saya top up paket data menggunakan voucher extra combo lita. Padahal kemarin udah ada notif berhasil. Eh sekarang malah hilang. Akhirnya saya beli lagi."</t>
  </si>
  <si>
    <t>Muhammad Fahrul Ulum</t>
  </si>
  <si>
    <t>"Pkt Xtra UNLIMITED TURBO Premium Rp50rb Anda sudah berakhir. Cek pilihan paket menarik lainnya di aplikasi myXL. Info 817. padahal baru aja di isi lah kog Malahan ada pesan gini?"</t>
  </si>
  <si>
    <t>Eri Kristanto</t>
  </si>
  <si>
    <t>"Penting untuk punya aplikasi operator untuk menunjang kemudahan pengecekan pulsa, kuota, masa aktif, promo dst. XL punya my XL untuk itu semua. Satu hal yang mendasar bagi saya, myXL belum punya fitur pengunci pulsa seperti yang dimiliki myAXIS yang notabene masih anak dari XL. Pengunci pulsa penting bagi saya karena dapat menghindari pulsa kita berkurang otomatis tanpa kita minta karena termakan data internet, promo memakai pulsa dan hal lainnya. Semoga myXL segera menyusul ini."</t>
  </si>
  <si>
    <t>Novi Alfiani</t>
  </si>
  <si>
    <t>"Setelah di update untuk masuk kembalinya susah.. Terutama untuk anak kost yang tempat kost 2lantai 3 lantai dll.. Kita di (lantai dasar) Kehalang beton lantai langsung tidak ada signal sama sekali!! Aduuh xl aku dibuat kapok langanan bulanan Ã°Å¸Ëœâ€¢"</t>
  </si>
  <si>
    <t>Khairun Nisa</t>
  </si>
  <si>
    <t>"Sekarang ini jaringan xl luar biasa lelet banget beli paket 10gb buka SW aja loadingnya lama banget, kaya pake gratisan tp kuota nya tetap boros 4 hari habis tu 10gb. Kenapa ya???"</t>
  </si>
  <si>
    <t>Aditya Kurniawan</t>
  </si>
  <si>
    <t>"HAK PENGGUNA HILANG!!! jaringan bapuk, salah siapa ini???? bukan cuma 1 kota, hampir smua kota keluhannya sama! Jangan yg pasca bayar aja donk, kalian tanpa kaum2 pra bayar bisa apa"</t>
  </si>
  <si>
    <t>Rino Setiawan</t>
  </si>
  <si>
    <t>"Kenapa xl sekarang jaringannya lemot, ini saya kemaren pas thn baru udh 3 hari gada sinyal, udh saya coba segala cara biar dapet sinyal tapi gada hasil, tolong ya xl"</t>
  </si>
  <si>
    <t>Manatu Atu Online Shop</t>
  </si>
  <si>
    <t>"myXL sekarang udah keren... Ada pengaturan dari pemotongan pulsa krn data dan sms berbayar. Penggantian kartu hangus juga lewat app (walo blm coba sih). Tapi after all keren, ditunggu inovasi barunya lagi ya."</t>
  </si>
  <si>
    <t>Dedrakor Tube</t>
  </si>
  <si>
    <t>"Saya tambah bintang 1....untuk saat ini pelayanan sinyal dan keamanan sudah cukup baik..tetapi bisa tidak ya kuota utama itu jangan ada kuota malamnya. Sebab tidak terpakai kalau malam2..yang ada ngantuk"</t>
  </si>
  <si>
    <t>Super Shoot</t>
  </si>
  <si>
    <t>"Makin gk jelas pembagian kuota nya!! Ã°Å¸ËœË†..gua padahal ada kuota unlimited akses youtube...eh, malah ke sedot kuota utama gua pas lagi streaming youtube..trus.. fungsi kuota akses Unlimited youtube nya apa??!!!!! Kalo kuota utama nya juga ke sedot??!"</t>
  </si>
  <si>
    <t>Yuda Ades</t>
  </si>
  <si>
    <t>"Jaringan ga stabil, tiap hari jumat sampai hari minggu jaringanya muncul cuman 6 jam, terhambat semua pekerjaan. Xl kalau mau bersaing dengan operator lain ya jaringan harus diperbaiki dulu, bukan fitur aplikasi my xl-nya."</t>
  </si>
  <si>
    <t>Smile So Good</t>
  </si>
  <si>
    <t>"Kesel bgt gw sama xl.. Klo gw beli paketan yg semingguan, sinyal internet lancar, giliran gw beli yg 150giga, sinyal kaya kentut..!! Mubaziir..!! Udah bikin laporan sampe 2x ga ada perubahan.. Klo ada bintang minus, bakal gw kasih tu bintang.."</t>
  </si>
  <si>
    <t>Khatib Nur Garus</t>
  </si>
  <si>
    <t>"Gak berguna , asal hujan jaringan untuk beberapa hari kedepan selalu terganggu , jujur beda bener sama TELKOMSEL . Telkomsel wlwpun cuaca hujan paling lama gangguan sinyal hanya beberapa jam paling lama , jika XL sampai beberapa hari , mau TF dan lainnya susah bener internet . Gak coba2 lagi pakai XL , MENYESAL SAYA PAKAI XL !! ."</t>
  </si>
  <si>
    <t>Choirul Mukminin</t>
  </si>
  <si>
    <t>"mohon maaf sebelumny. ini saya beli voucher dan dpet bonus kuota 1gb tiktok,youtube,atopun instagram. tetapi waktu saya pilih tiktok/instagram, kenapa error mulu? sedangkan waktu milih yt malah lancar jaya. apakah ini teknik marketing?"</t>
  </si>
  <si>
    <t>Faridatul Khusna</t>
  </si>
  <si>
    <t>"Ini kenapa ya? Pdhl baru diupdate tapi 2 minggu kemudian minta diupdate lagi. Kalo engga diupdate engg bisa dipakai apk nya. Terimakasih By: Kidor"</t>
  </si>
  <si>
    <t>Dandi Dito</t>
  </si>
  <si>
    <t>"Aplikasi terus update sinyal makin lemot saya pengguna XL dari tahun 2015 dan sejak 2019 XL lebih mementingkan update aplikasi dan paket data sedangkan jaringan bukan nya makin kenceng malah makin lemot bahkan sekarang jika di bandingkan dengan smarfren lebih kenceng smarfren di bandingkan XL yang paket kuota semakin mahal tapi sinyal semakin turun jujur saya kecewa saya jadi tindak nyaman main game menggunakan kartu XL jika terus seperti ini saya akan berhenti berlangganan ."</t>
  </si>
  <si>
    <t>Tyaga Dahayu</t>
  </si>
  <si>
    <t>"Paket yg ditawarkan banyak jebakannya, hati hati. Kalau ada penawaran paket murah hati hati. Cukup beli 1 kali saja, soalnya terakumulasi maks 1gb"</t>
  </si>
  <si>
    <t>Sun Delivery</t>
  </si>
  <si>
    <t>"ketika membeli paket yg sama utk memperpanjang kenapa sisa paket yg terdahulu dihabiskan dulu baru kuota yg baru ini aplikasi myXL yg agak error ato gmn ya ada yg bs bantu jelaskan???"</t>
  </si>
  <si>
    <t>So Sweat</t>
  </si>
  <si>
    <t>"Hallo kk,,,saya telah melakukan isi ulang pulsa 20k,, dan membeli paket 9GB 7 hari di aplksi ini,,,kenapa kuota saya tidak dapat di gunakan??!!"</t>
  </si>
  <si>
    <t>Ferdy Medjaya</t>
  </si>
  <si>
    <t>"Ini XL lagi kenapa yaaaaaa??? Saya mau transfer pulsa/paketan ke anak saya di jakarta malah eror teruuussssss padahal masa aktif masih lamaaaa!!! Mohon di perbaiki secepatnyaaaaa!!!"</t>
  </si>
  <si>
    <t>Muhammad Rafli</t>
  </si>
  <si>
    <t>"Pelayanan buruk, live chat juga tidak dapat memberikan solusi terkait masalah yang dihadapi oleh konsumen, saya tidak bisa mengaktivasi paket dan disuruh registrasi ulang, tetapi saya selalu gagal dalam melakukan registrasi ulang. Memang operator sampah, lama lama pindah juga saya ke operator lain"</t>
  </si>
  <si>
    <t>Dhita Jaya</t>
  </si>
  <si>
    <t>"Untuk aplikasi, sangat memuaskan karena sering memberi diskon kuota"</t>
  </si>
  <si>
    <t>F. Wullan</t>
  </si>
  <si>
    <t>"XL ayo lah sinyal ku ni knapa lagi:( cape lah aku nii tiap mau maen game lag mulu, kirim HP ku ternyata jaringanya, kirim game nya ternyata jaringannya, uda 4g terus jadi H doang :( keburu ganti kartu lain ni ya:) ku mohon :) plisss ya ya beneran ni lah sumpah gk boong:) udah 3/ 4hnan aku pakek XL ni, dulu" Gk gini ayo lahhhh:)"</t>
  </si>
  <si>
    <t>Agasha Boen</t>
  </si>
  <si>
    <t>"Uh...Halo kak,saya ingin mempertanyakan sesuatu.Saya memiliki utang 16.500 dan saya membeli pulsa 50 Tetapi pulsa saya tidak terpotong,biasa nya terpotong karena tagihan pulsa ini tidak.Apakah ada kesalahan? Saya cek penggunaan pinjaman pulsa masih ada tagihan nya."</t>
  </si>
  <si>
    <t>Herman Satya Adi</t>
  </si>
  <si>
    <t>"Apk keluar sendiri mulu ga ada respawn mulu kaga jelas . mau beli paket lewat apk malah gabisa no respawn terus ujung ujung nya nyedot pulsa , paket kaga ke beli pulsa abis !!!"</t>
  </si>
  <si>
    <t>Edo Pratama</t>
  </si>
  <si>
    <t>"Xl makin lama bukan nya makin bagus malah makin buruk, gk sesuai sama selogannya.. Tolong lah dengar kami sebagai pemakai xl.. Masa kalah saing sama tsel.. Ini klo bkn karna di kantor cuma bisa jaringan xl.. Udh saya buang ni kartu xl.."</t>
  </si>
  <si>
    <t>Dedi Mulyawan</t>
  </si>
  <si>
    <t>"Live chat kaga guna, kaya ngomong sama robot....isi paketan dari siang blm juga masuk....pelayanan buruk, signal juga parah....kecewa.!!!!"</t>
  </si>
  <si>
    <t>Deri Adrian</t>
  </si>
  <si>
    <t>"Lu kalau gk niat ngasih discon mending gk usah deh,Gw cek ada discon 70 gb 48 rb,trus gw isi pulsa 50 buat maketin,dah gw paketin malah dapet sms "Pelanggan Setia XL,terjadi kesalahan saat aktivasi" trus gw cek lagi tau tau promo nya dah ilang,jadi normal 239 rebu,parah parah,tau gini gw gk bakal ngisi pulsa"</t>
  </si>
  <si>
    <t>Wibowo Trisno</t>
  </si>
  <si>
    <t>"Kartu bisa tiba-tiba blank sinyalnya. Gimana ceritanya. Lagi di pakai tiba-tiba hilang ga tau kenapa. Masa aktif masih panjang, paketan baru kepakai 20 am hari, malah blank sinyalnya. SANGAT-SANGAT TIDAK REKOMENDASI. YAAAA BUAT MAIN GAME JANGAN HARAP LANCAR. YAAAA"</t>
  </si>
  <si>
    <t>Bang Jo</t>
  </si>
  <si>
    <t>"Kenapa saya tidak bs membeli Kuota unlimited Extra Combo VIP plus ... Setiap klik Beli paket Tulisanya selalu tidak ada pilihan paket untuk anda. Saya coba update aplikasinya jg ttep sama. Gmn solusinya"</t>
  </si>
  <si>
    <t>Marudut Gunawan</t>
  </si>
  <si>
    <t>"Parah makin parah sekarang jaringan hilang hilang terus sering dapet sinyal E ....saya lagi butuh banget jaringan buat komunikasi ehh malah sinyal jelek terus...kecewa sangat kecewa...pihak xl hanya bisa minta maaf wkwkwkwk kata maaf tidak bisa menyelesaikan masalah boss...mending pindah ke Tsel dah kalo kyak gini terus"</t>
  </si>
  <si>
    <t>Bambang Hermawan</t>
  </si>
  <si>
    <t>"Ga lagi2 dah langganan paket promonya dari aplikasi, harga seh murah tapi jaringan parah banget. Paket yang normal pun jaringan ga se kenceng provider tiga. Fix cukup buat telpon saja."</t>
  </si>
  <si>
    <t>Echa Intan</t>
  </si>
  <si>
    <t>"Maaf mau tanya saya buka myXL mau ambil kuota unlimited gratis tapi pas di buka aplikasinya tiba-tiba muncul myXL tidak menanggapi. Kalau kendala kaya gitu gimana? Mohon bantuan nya saya mau ambil kuota unlimited gratis Terima kasih..."</t>
  </si>
  <si>
    <t>Yraisy Mcqueen</t>
  </si>
  <si>
    <t>"Makin parah aja jaringan nya :( cape protes Mulu, udah sering bgt tlpn. Kalau udah bener, gak lama gtu lagiiiiii gtu lagiiiii, tlpn lagiii ,tlpn lagiii. Skrg udah malas mau protes tlpn juga, makin kacau bgt. Buka aplikasi lain langsung E, bahkan langsung Silang kadang. Pas out dari aplikasi,eh nongol lagi. Mau nya apa coba. Emang ngisi data buat apa kalau bukan buat di pakai?"</t>
  </si>
  <si>
    <t>Kedai_Coffee_Din</t>
  </si>
  <si>
    <t>"myXL makin ga jelas Udah berapa kali beli paket internet selalu tidak bisa di pakai/tidak bisa digunakan. Ahirnya uang saya abis cuma buat beli paket internet terus"an. Dan semalem sampe pagi ini,,saya mau beli paket internet VIP tidak bisa terus. Udah sinyalnya parah ngeleg banget. (Tolong diperbaiki dong sinyal sama jaringan nya) Saya pelanggan setia myXL masa kaya gini sih ga ada kemajuanya."</t>
  </si>
  <si>
    <t>Mas Opick</t>
  </si>
  <si>
    <t>"ada penarikan pulsa tanpa adanya persetujuan dari konsumen,yg seharusnya tidak terjadi karna akan merusak citra proveder XL sendiri semisal sms dari nomor 99876 dll terus adanya paket tlp harian yg tanpa adanya persetujuan dari konsumen ini uda sebagian bentuk dari kecurangan kita stop ya gak bisa karna paket harian,pada akhirnya konsumen gak lagi stok pulsa di sim card"</t>
  </si>
  <si>
    <t>Ahmad Nur Kholis</t>
  </si>
  <si>
    <t>"Akhir2 ini Jaringan XL jadi kadang ilang sendiri, trus buat ngebuka beberapa aplikasi harus dimode pesawat dulu atau gk bisa masuk sama sekali. Buat masuk aplikasi XL aja gk bisa masuk, jadi kalo tiap cek info harus lewat nomor. Tolong diperbaiki, harga dinaikin ke harga yg sewajarnya gk apa2, masalah jaringan diperbaiki. Tolong ditanggapi, makasih."</t>
  </si>
  <si>
    <t>Ilham Colo</t>
  </si>
  <si>
    <t>"Hanya saran ya,,, supaya ada pengaturan paket kuota. kan ada paket combo, hotdrod, mini, game, dll. Kalo kita punya dua paket berbeda bisa ngatur,mana dulu yang mau dipake, jadi paketnya berkurang sesuai keinginan kita, tidak ngurang sesuai tanggal beli. Kalo sesuai tgl beli, kita kan rugi, kalo kita beli paket lagi yg berbeda dari yang pertama, paket yg pertama gk bisa kepakai."</t>
  </si>
  <si>
    <t>Novia Sitorus</t>
  </si>
  <si>
    <t>"Permisi... Saya mau nanya kenapa di saat saya mau klik pilih bonus tidak ada respon dan keluar dengan kata aplikasi tidak merespon, saya Download ulang sudah saya lakukan, saya restat hp saya sudah coba, udh bebrpa kali saya coba tetap seperti itu.. Mohon balesan y"</t>
  </si>
  <si>
    <t>Djo Jo</t>
  </si>
  <si>
    <t>"Apk nya tiba tiba terhenti mendadak dan tidak merespon ketika ingin menukarkan point' dan mengklaim bonus kuota jika ingin lebih baik dari jaringan operator lain perbaiki segera agar konsumen puas"</t>
  </si>
  <si>
    <t>Tatang Arhata</t>
  </si>
  <si>
    <t>"Saya tdk banyak paham tentang PRIORITAS XL, karena info dr sales lewat phone cuma iya..iya..saja, tahunya terasa praktis PRIORITAS XL, kendala sekarang jika mau membayar apa bisa di Alfamart? Tolong bantu iya mas/mbak. Tks."</t>
  </si>
  <si>
    <t>Ven Reiven</t>
  </si>
  <si>
    <t>"1-10 nilai keunggulan &amp;kekurangan card XL ,Keunggulan : dari card XL itu,buat download,streming,sosial media enak, nilai 8 ,Kekurangan :dari card XL itu,dibuat maen game jaringan buruk, nilai 2 ,Mending pakek jaringan WIFI stabil ...."</t>
  </si>
  <si>
    <t>Anissa Nur Melinda</t>
  </si>
  <si>
    <t>"Minta tolong, maya kalo di chat gak usah bertele-tele yaa.. saya bingung mau nyampein keluhan kok bonus kuota aplikasinya nggak masuk, gak bisa di klaim. Tapi si maya gak bisa kasih solusinyaÃ°Å¸â„¢Æ’"</t>
  </si>
  <si>
    <t>Ucu Mustoharoh</t>
  </si>
  <si>
    <t>"sedih...dibuka susah, pdahal jaringan bagus,restart hp sudah berkali-kali... pas buka myxl baru masuk sebentar mau aktifin paket eeh tau-tau sudah keluar lagi lagi lagi dan lagi..Ã°Å¸ËœÂ£ sampe capek bolak balik terus Ã°Å¸â„¢ÂÃ°Å¸â„¢Â"</t>
  </si>
  <si>
    <t>Azzahra Hanum</t>
  </si>
  <si>
    <t>"Disitu ada tulisan ambil bonus anda tapi pas saya mau ambil bonusnya ada tulisan 'Oops, terjadi kesalahan dalam proses aktivasi, silahkan tunggu beberapa saat lagi' tapi tetep aja gak bisa, tolong dong XL dibantu"</t>
  </si>
  <si>
    <t>Um Sonhaji</t>
  </si>
  <si>
    <t>"Terimakasih XL , semenjak saya ke gerai untuk aktifkan 4G signal kencang luar biasa.... Pekerjaan yg membutuhkan koneksi internet jadi gak terhambat..... IS THE BEST pokok nya ....Konsisten dalam pelayanan terus menerus SALAM IMPROVEMENT"</t>
  </si>
  <si>
    <t>Ari Anggara</t>
  </si>
  <si>
    <t>"penangan internet XL Home selalu lambat, tiap kali internet bermasalah diminta hanya bersabar menunggu berhari2 tanpa ada visit lgsg ke lapangan. skrg aplikasi mlh gak bisa dibuka sama sekali, selalu tiba2 klr. payahh."</t>
  </si>
  <si>
    <t>Jengklong City</t>
  </si>
  <si>
    <t>"Kalo buat gamers sangat tidak rekomendasi buat paket.. Yg di berikan xl mllb sama ff.. Jangan ambil yg free karna buat maen game jaringan menghubungkan tiap rank.. Mending ambil yg unlimited YouTube.. Kalo ambil yg free game.. Sangat gak jelas padahal di jaringan full .. Parah"</t>
  </si>
  <si>
    <t>Noval Selamet</t>
  </si>
  <si>
    <t>"Sangat mengecewakan , awalnya tidak pake pin ,, sekarang sudah pake pin dan dimana lagi di suruh buat pin ,,, sudah di buat pin nya .. Eh malah gagal mulu , sudah puluhan kali tapi tetep masih gagal . Bikin emosi Ã°Å¸Ëœâ€˜ . Tolong d perbaiki ."</t>
  </si>
  <si>
    <t>Pian Ardiansyah</t>
  </si>
  <si>
    <t>"2x pulsa kepotong (berkurang) sendiri, pertama ada keterangan nya di riwayat transaksi, yg ke 2 hilang tanpa keterangan dg nominal yg ga sedikit (menurut saya) 60k Sangat-sangat kecewa Ã°Å¸â€˜Å½Ã°Å¸â€˜Å½Ã°Å¸â€˜Å½ SAYA SUDAH MENGAKTIFKAN FITUR KONTROL PULSA JAUH SEBELUM PULSA SAYA TERPOTONG"</t>
  </si>
  <si>
    <t>Catra Cadudasa</t>
  </si>
  <si>
    <t>"untuk kualitas internet sih bisa di bilang terbaik, cuma sering ada lag 3detik setetiap beberapa saat hal itu sangat mengganggu saya khususnya saat bermain game, dan di SMS ada diskon ketika saya buka *123*4*3# tidak ada diskon sama sekali."</t>
  </si>
  <si>
    <t>Agus Yuliandra</t>
  </si>
  <si>
    <t>"Parah ni. Masak aku pake wifi tapi pulsa tetep kesedot. Jelas banget lagi pas mau beli paket masih ada tu pulsanya giliran pas beli gagal terus tapi pulsa ikut raip.. Padahal proses aktivasi pake wifi.."</t>
  </si>
  <si>
    <t>Nur Hidayati</t>
  </si>
  <si>
    <t>"Tiap ari update terus, sementara mau menonaktifkan sesuatu eror terus. Kalo kayak gini trus pulsa dibiarin habis dulu baru isi ulang. Dari pada eror mulu...."</t>
  </si>
  <si>
    <t>Teguh Setyanto</t>
  </si>
  <si>
    <t>"Kuota masih banyak, tapi seringnya lemot jaringan xl, bikin pusssiiiing...Ã°Å¸â„¢â€¹ kenapa kuota ndak akumulasi vocher extra kombo lite sisa 4 Gb, ditambah Vocher lagi baru kok 4 Gbnya gak ada? Mohon pencerahan. Trims. Dan masih sama"</t>
  </si>
  <si>
    <t>Lani Novriantho</t>
  </si>
  <si>
    <t>"Udah paketan XL prioritas harusnya kouta sisa bisa ke akumulasi sama kouta baru, tapi ini malah ke reset semua, gak jelas tau gt mending gak usah pake embel" kouta xl prioritas anti hangus, kouta gak ada pulsa kepotong stress lu"</t>
  </si>
  <si>
    <t>Koeching Oyen</t>
  </si>
  <si>
    <t>"Terlalu sering lelet . Pulsa sering kepotong . Suka suka nenek moyang mu aja Potong pulsa . Ini namanya melanggar hak konsumen untuk menyisihkan pulsa. Mana jaringan nya lelet. XL 'Xlalu Lelet'."</t>
  </si>
  <si>
    <t>Refan 1998</t>
  </si>
  <si>
    <t>"Kenapa sinyal sekarang malah tambah lag dan sering sekali hilang koneksi Apakah PT XL tidak bisa mengurus semua itu Kami kecewa dengan ini saya beli paket mahalÃ‚Â² tapi apa sinyal aja jelek gini tolong sekali secepat mungkin di perbaiki terimakasih Ã°Å¸â€˜Å’ *SEMOGA DI BACA KALAU TDK BERARTI SUDAH TAK MAU LAGI MENGURUS SEMUA KOMENTAR KAMI DAN ANDA LALAI DENGAN PERTANGGUNGJAWABAN ANDA*"</t>
  </si>
  <si>
    <t>Back To Nature</t>
  </si>
  <si>
    <t>"xl kenceng bgt nyedot paket, jaringan low tapi paket cepet abis... beda bgt sama plat merah... aplikasi juga sering updateÃ‚Â² ga ad perubahan... wa juga lama bgt k'send, ga bebas browsing lagi... vendornya juga ga jelas yg manaÃ‚Â²... B.4.B.1"</t>
  </si>
  <si>
    <t>Julian Haloho</t>
  </si>
  <si>
    <t>"Sinyalnya jelek. Buat emosi kalau main game. Pokoknya jaringannya kalau bisa diperbaikin wilayah bagian berastagi. Kalau gk bisa diperbaikin. Jangan lagi dijual kartunya. Buat konsumen kecewa aja. Terima kasih. Salam dari kota berastagi kab: karo"</t>
  </si>
  <si>
    <t>Abuey 30</t>
  </si>
  <si>
    <t>"Maaf yah XL biarpun kartu sya dari tahun 2000 XL bebas 10 angka , tp maaf sya rasa alasan sya udh cukup bersabar selain masa tenggang yg minim serta beberapa minggu terakhir ini jaringan gk jelas , untuk YouTube sangat LANCAR tp untuk fb ig social chat massager sulit buat dibuka , entah apa yg merasukimu XLANGKAH MAU MUNDUR , sya pindah haluan dlu kesebelah si merah promonya lagi bombastis , gk kaya kamu, ku relakan nomerku 10digitku hilang bak ditelan bumi smoga XL XEMAKIN MUNDUR!"</t>
  </si>
  <si>
    <t>Irwan Cm</t>
  </si>
  <si>
    <t>"Setiap malam dan cuaca mau hujan, pasti jaringan nya putus2. Tolong dong pihak XL di kuat kan lagi server nya, jadi tidak nyaman lagi menggunakan kuota data nya kalau setiap malam dan cuaca mau hujan jaringan server nya putus terus."</t>
  </si>
  <si>
    <t>Jamal Mirdad</t>
  </si>
  <si>
    <t>"Sekarang2 suka eror ,terjadi ke salahan terus. Mohon di tingkatkan pelayanan nya. Saya gunakan my xl. Mau tambah no baru terjadi ke salahan aja."</t>
  </si>
  <si>
    <t>Alfita Norma</t>
  </si>
  <si>
    <t>"Menikmati kenyamanan sebagai pelanggan prioritas yg sinyalnya ga pernah diprioritasin. Tetep dikasi bintang lima, biar semua pegawainya bahagia, yg paling bahagia sudah pasti bos2nya."</t>
  </si>
  <si>
    <t>Def Channel</t>
  </si>
  <si>
    <t>"semakin kesini, bukan nya semakin, bagus, tapi semakin buruk jaringan 4g, nya, kadang2 ngilang, kalau quota, mungkin xl termasuk murah, di banding provider lain, tapi yaitulan sinyal nya tak stabil, di daerah saya."</t>
  </si>
  <si>
    <t>Agus Triyanto</t>
  </si>
  <si>
    <t>"Aplikasi ini gunanya buat apaan sih..???? Mau belipaket internet aj ga ada di menu pembelian... Giliran live chat jawaban ga ada yg bener.. .. Yg di tanya ap jawabannya apa... Yg betul betul lah.. Kalo bikin aplikasi... Jangan suka merugikan pelanggan sendiri.... .. Jaringan juga ga stabil buat nonton yutube juga patah 3"</t>
  </si>
  <si>
    <t>Finn Simo Hayha</t>
  </si>
  <si>
    <t>"Saya salah satu pengguna XL,berharap sinyal 4G yg bagus dr XL, tapi sering eror, sinyal sering jadi EDGE,.. lemoot e puoolllll,. Jadi ga iso kerja, ga bisa dapet orderan,. Trus yang di rugikan sapa ya? Kuota jug beli, ga gratis... MIKIR GA YA.. KAYAK SETINGAN SERVER E.."</t>
  </si>
  <si>
    <t>Mns</t>
  </si>
  <si>
    <t>"setelah di update aplikasi tidak bisa beroperasi dengan baik, coba lagi terus. Pulsa saya juga terkuras walaupun saya tidak menghidupkan jaringan. Sudah isi kuota tapi tidak bisa dan coba lagi terus. Mohon diperbaiki. Terimakasih banyak"</t>
  </si>
  <si>
    <t>Sahat H Lubis</t>
  </si>
  <si>
    <t>"Jaringan XL makin Sampah. Setiap main game online putus2. Daerah Pekanbaru XL semakin Sampah. Jangan Kalian Hapus postingan Saya ne. Perbaiki Layanan kalian. Makin parah aja jaringan kalian. Ã°Å¸ËœÂ¡Ã°Å¸ËœÂ¡ macam tinggal di hutan kita."</t>
  </si>
  <si>
    <t>Abu Adzra</t>
  </si>
  <si>
    <t>"Kenapa di xl store tidak ada penawaran ???????? Tulisannya Nantikan Penawaran Lainnya terrruuuusssss..... Gimana saya mau tau rincian atau detail dan informasi paket data yang mau saya beli.....????? Kalo harus dial *123# buat ada aplikasi myXL ????? Lebih baik provider sebelah, murah dan mudah..... Kita liat aja beberapa hari ke depan, klo masih ginih terus...wasalam deh.."</t>
  </si>
  <si>
    <t>Agus Bule</t>
  </si>
  <si>
    <t>"Kenapa setelah update 5.5.8 fitur my pin tidak bisa, beli paket juga tidak bisa, bagi paket juga 5idak bisa, harus buat pin baru, sedangkan fitur tersebut erorr."</t>
  </si>
  <si>
    <t>Vera Puspi</t>
  </si>
  <si>
    <t>"Saya sangat kecewa dengan komplain yg sengaja di blok oleh pihak XL Care supaya tidak muncul.... Pulsa saya berkurang padahal data seluler tidak diaktifkan dari sebelum top up pulsa sore hari sampai saat ini, lalu pulsa saya berkurang habis karena SMS langganan yg tidak sama sekali saya berlangganan.. parah!!! Saat saya mencoba menjelaskan kepada agen XL Care karena perpindahan beberapa agen sebumnya malah diblokir pesannya tidak muncul padahal sempat terkirim. Ã°Å¸ËœË†Ã°Å¸ËœË†Ã°Å¸ËœË†Ã°Å¸ËœË†Ã°Å¸ËœË†Ã°Å¸ËœË†Ã°Å¸ËœË†Ã°Å¸ËœË†Ã°Å¸ËœË†Ã°Å¸ËœË†Ã°Å¸ËœË†Ã°Å¸ËœË†Ã°Å¸ËœË†Ã°Å¸ËœË†Ã°Å¸ËœË†"</t>
  </si>
  <si>
    <t>Galang Dp</t>
  </si>
  <si>
    <t>"Halo kak? Sejak pandemi sinyal my XL ko down truss ya.Sudah lama saya pakai tp baru kali ini sinyal down banget buat main!!!.Mohon diperbaiki lagi ya......Ã°Å¸â„¢Â"</t>
  </si>
  <si>
    <t>Alfi Pangestu</t>
  </si>
  <si>
    <t>"Hello Pt XL axiata Tbk, ini saya pengguna baru XL, dari yang saya nilai kelancaran dan kestabilan sinyal bagus saat bermain walaupun mengerjakan sesuatu, tetapi dalam hal download kok lama ya ?, Dan dalam paket kouta kok cuman terbatas per bulan maksimal nya, mohon di pertingkatkan lagi Ã°Å¸â„¢ÂÃ°Å¸â„¢Â"</t>
  </si>
  <si>
    <t>Ajat Sudrajat</t>
  </si>
  <si>
    <t>"Ini bukan masalah jaringan..tapi masalahnya kenapa apk my xl terasa berat sudah saya katakan susah masuk untuk pindah halaman udah uninstal jg tetap sama crash melulu.. Tolonglah di perbaiki lagi sistem di apk my xl... Biar gak berat ...terima kasih"</t>
  </si>
  <si>
    <t>Muhammad Djikri Fadhilah</t>
  </si>
  <si>
    <t>"Awal make xl bangga banget lancar jaya.. Tp makin ksini kok malah lelet banget sinyalnya.. Kuota masih banyak tp sering bgt ga bisa lancar make nya.. Jd ngerasa rugi beli kuota tp kek gini pas mau d pake.. KecewaÃ°Å¸ËœÂ«"</t>
  </si>
  <si>
    <t>Dewi Yulianti</t>
  </si>
  <si>
    <t>"Aplikasi memburuk, saya beli kuota x-tra on 1 GB tapi loadingnya lama -+5 menitan padahal sinyal full, saya balik ke dashboard dan refresh, awal pulsa masih utuh dan kuota paket masih kosong, trs keluar dari aplikasi XL tunggu sebentar (takut udah kebeli tapi pending) tapi belum masuk masuk juga pembeliannya, akhirnya buka kembali app XL dan beli dengan paket yang sama, dan langsung berhasil, tapi dapet 2 SMS pembelian kuota pas saya cek tenyata saya melakukan 2x pembelian kan ngeselin jdi rugi"</t>
  </si>
  <si>
    <t>Kadek Wira Santika</t>
  </si>
  <si>
    <t>"apk nya baguz bnget,selain promo dan bonus kuota setelah isi pulsa,apk ini juga bisa top up voucher game,seperti free fire,mobile legends,codm,pubg mobile,ragnarok,dan masih bnyak lagi,harganya juga murahÃ‚Â²,pokoknya the best lah,gak nyesel download ini apk,terus kembangin apk ini ya min,tambahkan lebih banyak fitur lagi,seperti pembelian kuota xtra combo,dan diskon,semoga mimin sehat selaluÃ°Å¸â„¢ÂÃ°Å¸â€˜Â"</t>
  </si>
  <si>
    <t>The Bubbles</t>
  </si>
  <si>
    <t>"Permisi, kenapa pulsa saya terpotong setiap hari utk internet ya? Padahal saya sedang tidak menggunakan internet XL, saya mengisi pulsa agar tidak masuk masa tenggang, dan jika sudah terkumpul baru saya belikan kuota, setelah saya cek riwayat pulsa selalu terpotong setiap harinya... Kecewa sekali dengan xl, padahal saya masih ingin menggunakan nomor xl, tpi kalau seperti ini kayaknya saya biarkan masuk masa tenggang saja. Saya menulis disni karena fitur live chat sama sekali tidak membantu"</t>
  </si>
  <si>
    <t>Dyan Desrianty</t>
  </si>
  <si>
    <t>"kok kuota saya dari paket lain tiba2 hilang sih? padahal tanggal limitnya belum nyampe. apa emang gtu yah kalau beli paket lain otomatis paket yang lama jadi kehapus? padahal kuota saya masih adaÃ°Å¸ËœÂ­Ã°Å¸ËœÂ­Ã°Å¸ËœÂ­. mohon bantuannyaÃ°Å¸â„¢ÂÃ°Å¸ÂÂ»"</t>
  </si>
  <si>
    <t>Sello Beramasta</t>
  </si>
  <si>
    <t>"Apk nya terlalu ribet hampir tiap kali buka my xl nya minta update trus, kalo buka terlalu apk nya telalu lama beda kaya apk nya kuning sama merah cepat kalo my xl susah nya minta ampun,terlalu lemot klo sama jaringan sendiri,di kasih hotspot dulu sama si merah baru bisa,ayooo dong tingkatkan lagi kualitas apk nya"</t>
  </si>
  <si>
    <t>Maxi Symanuar Ishak</t>
  </si>
  <si>
    <t>"aplikasi tolol !! terus aja ada update-an tapi error terus aplikasinya ! terus2an upgrade tapi untuk check kuota aja susah !!! ngotak woi ngotak"</t>
  </si>
  <si>
    <t>Yehezkiel</t>
  </si>
  <si>
    <t>"Kenapa ya kalau saya isi pulsa dan saya matikan data seluler, tapi pulsa nya tetap berkurang saya jadi tidak bisa mengaktifkan paket data saya, satu lagi, kenapa kalau mau masuk aplikasi my xl lama banget, kecewa pakai xl."</t>
  </si>
  <si>
    <t>Candaran Wisnu</t>
  </si>
  <si>
    <t>"turut berduka cita atas matinya jaringan xl yang super lemot super busuk. beli paket buat dipake bukan buat koleksi. jaringan kaya sampah. rugi pake xl, pelayanan super busuk sangat mengecewakan.Ã°Å¸Ââ€¢"</t>
  </si>
  <si>
    <t>Patrisia Tbn</t>
  </si>
  <si>
    <t>"Suka banget sama UI nya !!!Ã°Å¸ËœÂÃ°Å¸ËœÂ Selalu nyaman buat pake app nya dan buat dapatin promo juga gampang karna langsung dipasang di banner Homenya. UI designnya jadi salah satu inspirasi ku buat ngerjain project UI/UX, makasih banyak sudah menginspirasi.. Kalau kendala belum ada sih dan selalu suka pake appnya"</t>
  </si>
  <si>
    <t>Dwi Rahayu Ningsih</t>
  </si>
  <si>
    <t>"Jaringan nya lumayan bagus, tapi apk nya kok ga konek konek terus ya,saya beli kuota dan cek di kode keypad masih lumayan banyak tapi di apknya malah ga ada."</t>
  </si>
  <si>
    <t>Ngurah Suryanegara</t>
  </si>
  <si>
    <t>"Saya punya dua kartu XL tapi sayang untuk kecepatan internet kalah jauh dengan Indosat,Mungki tempat tinggal yang mempengaruhi tapi kalau tinggalnya dikota seharusnya jaringan merata.jadi beli pulsa xl hanya buat memperperpanjang masa aktif plus buat aktivasi no WA tambahan,,,"</t>
  </si>
  <si>
    <t>Abie Rfnh</t>
  </si>
  <si>
    <t>"Tidak recomnded Paket game di xl. gak pernah bner..mobile data aktip,sudah di restart.. tp tetap selalu ngelag parah di tengah pertandingan mengakibatkan kerugian bagi pengguna ny...saya saran kan pindah ke paket game telkomsel jaringan normal lancar.."</t>
  </si>
  <si>
    <t>Made Widana</t>
  </si>
  <si>
    <t>"Yth.Tolong diperbaiki lagi untuk layanan Kartu XL, karena sering memotong pulsa diluar paket, padahal data sudah dinonaktif. Maaf, 1 bintang dulu ya. Terima kasihÃ°Å¸â„¢Â"</t>
  </si>
  <si>
    <t>Jepri Ana</t>
  </si>
  <si>
    <t>"Kenapa ga bisa masuk ke dalam aplikasi...nama anda tinggi loh di indonesia jangan mengecewakan.saya suruh ambil bonus kuota karna isi pulsa dan di arahkan ke aplikasi ini. Tpi tidak dapat di buka kan lucu. Tolong perbaiki"</t>
  </si>
  <si>
    <t>Jasmin Nur Amanda</t>
  </si>
  <si>
    <t>"Saya pakai kartu yang berkategori BIZ dan biasanya ada promo di bagian atas beranda kenapa sekarang udh tidak ada lagi, udh lama tidak ada dan biasanya ada banyak pilihan di atas beranda yang bisa saya geser , padahal saya sudah sabar sama ini kartu XL jaringan mulai susah ya itu pasti Karna iklim juga jadi berpengaruh saya sabar sampai berbulan bulan sampai sekarang ini saya pakai Karna ada kuota belajarnya yang sinyalnya masih gitu , susah"</t>
  </si>
  <si>
    <t>Frida Tutu</t>
  </si>
  <si>
    <t>"kartu XL sangat bagus ,dan terkadang dapat promo yg sangat murah,,tetapi yang buat sya kecewa,sy tidak pernah mengaktifkan RBT,tetapi tiba2 pulsa saya dipotong"</t>
  </si>
  <si>
    <t>Oka Pastika</t>
  </si>
  <si>
    <t>", aplikasi my XL telah terupdate ke vr 5.5.8, nomor dalam keadaan aktif, pulsa cukup tetapi masih gagal dalam pembelian paket. My XL selalu tidak respond"</t>
  </si>
  <si>
    <t>Fadil Muhammad</t>
  </si>
  <si>
    <t>"Saya sudah beli paket, pas di nyalain kok ngeleg banget ya + paket nya ga berkurang, tolong diperbaiki secepat nya, BuangÃ‚Â² duit doang, dikiranya beli pake daun, dari kemaren ga aktif terus paketnya,"</t>
  </si>
  <si>
    <t>Achmad Fadjri</t>
  </si>
  <si>
    <t>"Baru tau setelah install aplikasi myXL. Ternyata ada dan perlu mengaktifkan fitur agar pulsa tidak terpotong otomatis ketika menggunakan internet,SMS promo, dsb. Ini pengalaman saya, dan menurut saya ini tidak fair. Ngapain lagi beli paket tapi ketika data seluler diaktifkan, masih kepotong pulsa."</t>
  </si>
  <si>
    <t>Ariadi</t>
  </si>
  <si>
    <t>"Aduuuuuuhh.....ampyuuun. XL koq ancur gini jaringannya naik turun terus sinyalnya. Sampe ga pernah bisa masuk Ke myXL buat beli kuota. Krn pake aplikasi myXL yg lama bagus buat bertransaksi tp stlh ada permintaaan utk Update dgn aplikasi yg baru malah jd ancur. Toloooong dibenerin yaa....jgn sampe terus mengecewakan pelanggan."</t>
  </si>
  <si>
    <t>Natalia Cristauli Lubis</t>
  </si>
  <si>
    <t>"Cuma mau bilang, MAKASIH untuk jaringan yang selalu tidak stabil, menghilang disaat lagi butuh. Drama banget! Udah mencoba betah selama setahun ini karena sesuka itu dulu sama XL, tapi egk ada perubahan. Tolong dong, pikirkan kenyamanan penikmat jaringan anda. Gk ada hubungan sama restart!! Gk STABIL! GERAAAMMMM"</t>
  </si>
  <si>
    <t>Hendry Wu</t>
  </si>
  <si>
    <t>"Kenapa gak bisa ganti email, walaupun sudah di ganti di profile tetap waktu verifikasi di kirim ke email lama, dan gak afa fitur nomor alternatif lagi Nb edit : Gak jelas nih cs , gak bisa dah di coba segala cara juga gak bisa, sekarang malahan gak terima verifikasi ke nomor nya sendiri malah cuma bisa SMS ke nomor alternatif saja yg dulu daftar"</t>
  </si>
  <si>
    <t>Fian Dwi Lesmono</t>
  </si>
  <si>
    <t>"Xl bener bener jaringannya lemot banget udah sebulan lebih jaringannya seperti ini tidak stabil. Udah komplain tapi tidak ada solusi untuk mengatasi masalah jaringan yang lemot. Mohon agar segera diatasi Ã°Å¸â„¢Â"</t>
  </si>
  <si>
    <t>Aarif Sn</t>
  </si>
  <si>
    <t>"Lumayan efisien untuk proses pengecekan sisa kuota internet dan pulsa utama. Namun tolong sedikit diperbaiki bug yang sering muncul lumayan lama, seperti loading keterangan paket data yang lumayan lama."</t>
  </si>
  <si>
    <t>Dhaeng Dhalle17</t>
  </si>
  <si>
    <t>"Dear XL knp akhir2 ini sinyal internet nya makin ngawur,saya sudah bantu kasih bintang 5 loh tolong solusi nya buat kami semua dan jgn suruh kunjungi situs bla2bla,mayalah dll.klo ujung2nya gk ada solusinya apa harus saya ganti provaider lain nih biar lebih enteng sinyalnya Ã°Å¸â„¢â€šÃ°Å¸â„¢ÂÃ°Å¸â„¢ÂÃ°Å¸â„¢Â"</t>
  </si>
  <si>
    <t>Arul Arul</t>
  </si>
  <si>
    <t>"Menggunakan jaringan XL,,ternyata lebih murah,pas buat bersosmed,pas buat hape android,dan juga menggunakan jaringan XL dapat membeli paket unlimited dengan harga 0 RP,,,jaringan XL mantap benar..makasih XLÃ°Å¸ËœÅ Ã°Å¸ËœÅ Ã°Å¸ËœËœ"</t>
  </si>
  <si>
    <t>Zaki Thalib</t>
  </si>
  <si>
    <t>"Dulu kalau pakai XL itu selalu bagus jaringannya, tetapi akhir akhir ini XL udah ngak kaya dulu lagi. XL sekarang jaringannya susah banget, buat buka apk aja loading terus"</t>
  </si>
  <si>
    <t>Difa Laudza D</t>
  </si>
  <si>
    <t>"Tolong pihak xl mohon diperbaiki masa saya pake wifi buat internet, pulsa saya habis, padahal data udah mati, cuma wifi aja yang nyala tolong lah, saya pernah habis gak jelas pulsa 50rb kasusnya sama kaya gini, mau isi pulsa takutnya kaya gini lagi, gak isi masa aktif habis"</t>
  </si>
  <si>
    <t>Lutfiana Ayuningtyas</t>
  </si>
  <si>
    <t>"Halo kak semoga dibalas ya Jadi signal XL di rumah ku bagus " aj buat buka tik tok fb, yt bisa, kuota jg masih banyak tp buka apk my XL ini knp ngga bs ya? Trs ada tulisan coba cek koneksi trs my xl nya udah di update, hp ku jg dah di restart masi ga bisa . Tolong bantuan nya"</t>
  </si>
  <si>
    <t>Muldi Setiawan</t>
  </si>
  <si>
    <t>"Kak mau tanya. Saya punya 2 kartu xl. Yg 1 kartu lama sdh dipakai. Yg 1 baru beli. Knp ya kak dikartu lama itu ga muncul paket extra on 4gb. Cm samapai 2gb aja. Tp di kartu baru ada dan bisa dibeli. Lebih murah pula harganya . Apakah paket ini cm ada di kartu baru aja kah?"</t>
  </si>
  <si>
    <t>Vadhry Bantayan</t>
  </si>
  <si>
    <t>"My XL sangat berguna sekali untuk bermain game, melihat youtube dan buat download game sangat kencang sekali. kalo bonus nya sangat bermanfaat sekali walaupun kecil bonus nya tetapi saya tidak kecewa. Terima kasih banyak XL"</t>
  </si>
  <si>
    <t>Putu Ariani</t>
  </si>
  <si>
    <t>"apk nya bagus!!!!!!!!!!!!!!!!!!!!!!!!!!!!!!!!!!!!!! !!!!!!!!!!!!!!!!!!!!!!!!!!!!!!!!!!!!!!!!!!!!!!!!!!!!!!!!!!!!!!!!!!!!!!!!!!!!!!!!!!!!!!!!!!!!!!!!!!!!!!!!!!!!!!!!!!!!!!!!!!!!!!!!!!!!!!!!!!!!!!!!!!!!!!!!!!!!!!!!!!!!!!!!!!!!!!!!!!!!!!!!!!!!!!!!!!!!!!!!!!!!!!!!!!!!!!!!!!!!!!!!!!!!!!!!!!!!!!!!!!!!!!!!!!!!!!!!!!!!!!!!!!!!!!!!!!!!!!!!!!!!!!!!!!!!!!!!!!!!!!!!!!!!!!!!!!!!!!!!!!!!!!!!!!!!!!!!!!!!!"</t>
  </si>
  <si>
    <t>Alpian Channel</t>
  </si>
  <si>
    <t>"Ahir ahir ini jaringan susah banget, buat main game, nonton youtub, fb, wa susah semua Jaringan lagi kenapa, utamakan kepuasan pelanggan tolong kasih kenyamanan pada jaringan"</t>
  </si>
  <si>
    <t>Aji 26</t>
  </si>
  <si>
    <t>"Kecewa saya sama xl kalo begini terus tidak ada perubahan Buat browsing lambat buat sosmed lambat apa lagi main game susah banget buat conec jaringan lambat banget malah kadang hilang lagi sinyal nya... Tolong lah di perbaiki jaringanya Bagaimana ini ?"</t>
  </si>
  <si>
    <t>Gu Feing</t>
  </si>
  <si>
    <t>"Tau lah , akhir akhir ini susah banget di pake , gw saranin ga usah pake xl , xl yang sekarang udah rusak jaringannya , parah banget serius , biasanya juga bagus tapi akhir akhir ini ga bagus sama sekali , udah waktunya pindah kartu, udah rusak jaringan xl sekarang"</t>
  </si>
  <si>
    <t>Bima Ws</t>
  </si>
  <si>
    <t>"XL makin kesini bukan nya makin bagus pelayanannya malah makin jelek kuota sisa biasanya di akumulasi sekarang malah di hangusin kacau, kecew berat gue sama XL.. Hayu kita kasih bintang 1 aja biar berubah lagi kaya yang dulu yg menguntungkan costumer bukan merugikan customer.."</t>
  </si>
  <si>
    <t>Eyza Bahana</t>
  </si>
  <si>
    <t>"gw kasih bintang 5 sampe masih dengan slogan nya eXtraLemot(XL).. gw kasih bintang 1 lagi njing!!!!makasih buat 5 tahun ini eXtraLemot.. gw kasih bintang 1 lagi.. makin anjeng ni jaringan"</t>
  </si>
  <si>
    <t>Ã£ÂÂ€Žã£ÂÂ€Šã£ÂÂ€¢</t>
  </si>
  <si>
    <t>"Provider yang oke abis, aplikasi nya ui/ux nya nyaman. Promo buat pelanggan setianya juga banyak. Saran: tolong sediakan fitur, batalkan transaksi pada riwayat transaksi. Karena kemarin mau coba top up lewat briva, tercancel karena ada 3 transaksi yang belum selesai."</t>
  </si>
  <si>
    <t>Leonardo Frengky</t>
  </si>
  <si>
    <t>"lebih nyaman dengan xl..karena kuota ny yang besar dan harga murah...tetapi untuk tempat disini agak kurang memadai terhadap jaringan xl yang kurang jika tidak ditaruh didinding"</t>
  </si>
  <si>
    <t>Irvan Ade</t>
  </si>
  <si>
    <t>"belum saya kasih 5 bintang. soalnya kalo malam mau cek kuota kadang suka eror, dan kalo tidak ada data seluler yg aktif juga ngga bisaa masuk . mungkin kedepannya bisa di perbaiki lagi layanannya. trimakasih"</t>
  </si>
  <si>
    <t>Rivals</t>
  </si>
  <si>
    <t>"Klo ada bintang kosong mungkin pantas buat XL. Jaringan 4g klo nyalain data malah jadi 3g lemotnya minta ampun tapi kuota kesedot habis padahal buat internetan muter doang kaga jalan . Kartu perdana paling jelek menurut saya XL ini"</t>
  </si>
  <si>
    <t>Nimo Dj</t>
  </si>
  <si>
    <t>"Katanya setiap aktivasi scan voucher dapat 1GB bonus...!! Ini masa bonus nya youtube 1gb 1 hari trus.. Trus yang bonus 1GB nya hanya iklan atau gimana . Mohon penjelasan Karna saya pemakai xl Ty"</t>
  </si>
  <si>
    <t>Alfian Permata</t>
  </si>
  <si>
    <t>"mohon segera dibenahi sinyal 4G nya, kmrin saya pakai hp Xperia 4G lancar, skrg pakai hp xperia sinyal H+ trus. Kalau pakai iphone sinyal LTE , apa ada kendala di band atas ya ? Tlg sgra dibenahi. Krna udah nyoba pakai kartu 3 dan sinyal nya muncul 4G trus ,baik iphone/sony. trims semoga segera pulih sinyal Xl"</t>
  </si>
  <si>
    <t>Arum Azahra</t>
  </si>
  <si>
    <t>"Mohon dr pihak xl keluhan pengguna cepat di tanggapi , sudah sebulan sy mengalami jaringan xl yg lemot nya minta ampun , sy coba tanya ke maya , tp tdk membantu sama sekali , sy chat maya ' chat live agent ' ya begitulah ditanyai kendala kendala apa yg terjadi trus disuruh melengkapi pertanyaanÃ‚Â² yg diberikan maya , tetapi pada saat sy selesai melengkapi pertanyaanÃ‚Â² itu , kenapa pihak maya meninggalkan sesi chat??? , udah kecewa banget sy ini , jaringan lemot , chat live juga seperti itu, duh"</t>
  </si>
  <si>
    <t>Tutorial Singkat</t>
  </si>
  <si>
    <t>"jaringan buruk. sudah coumplaint tiap hari selama 4 bulan tapi hasilnya nihil... paketnya murah tapi disesuain sama jaringan yg sering putus2. call 817 dan DM fb percuma. *****939291"</t>
  </si>
  <si>
    <t>Reyhesfa Balhendinho</t>
  </si>
  <si>
    <t>"Izin lagi ni ada buug keknya,ni tadi barusaja saya top up di XL ya,beli UC PUBG dan tidak terkerim padahal saya sudah mengikuti prosedur yg ada ini bukti nya yg malah terkirim di sms. Selamat! Anda telah berhasil mendapatkan PUBG Mobile dari 60 UC. Voucher Anda adalah: VQLQTJ6y2t2736a1U5. CS: XL 817/AXIS 838. Nah ini yg terkirim dan nominal nya Rb15,000,walaw hanya sedikit nominal jya tapi tetap meresah kan,dan sekali lagi UC saya tidak bertambah sama sekali,jika berkenan lembalikan pulsa saya."</t>
  </si>
  <si>
    <t>Israel Noman</t>
  </si>
  <si>
    <t>"Sudah bagus sih, paketnya murah" cuman yang jadi masalahnya hari ini kenapa waktu saya mau beli paket yang biasa saya beli kol tidak ada ya di daftar. Ayolah, saya sudha bersabar pakai ni kartu XL jaringannya sering parah lagi. Pokoknya kembalikan paket yang biasa saya beli. Udah capek" isi pulsa eh malah ngecewain. KEMBALIKAN PAKET YANG BIASA SAYA BELI Makasih."</t>
  </si>
  <si>
    <t>Andrew</t>
  </si>
  <si>
    <t>"XL makin kesini makin ga jelas,beli kouta ada bonus 2GB,bonus nya hilang entah kemana,komplain ke Maya dari myXL ga ada solusi,komplain telpon ke CS nya bilangnya ada,tapi di apk nya ga ada sama di *123# juga ga ada bonusnya....cape komplain tiap bulan masalah kaya gini trus....."</t>
  </si>
  <si>
    <t>Isnan Muslimin</t>
  </si>
  <si>
    <t>"Kalau soal apk gak ada keluhan apknya bagus juga promo kuotanya lumayan memuaskan,. Tapi saya mau tanya kenapa saat jam 9 pagi sampai jam 10 pagi jaringannya selalu E?, Bukan hanya saya tapi semua teman saya mempunyai keluhan yg sama. Sekian"</t>
  </si>
  <si>
    <t>Ulil Albab</t>
  </si>
  <si>
    <t>"Kenapa kouta utama saya berkurang ketika nonton youtube. Padahal saya masih punya kouta unlimited youtube, facebook dan intragam. Dan juga sinyal xl didaerah saya sekitar semarang sering mengalami masalah sekarang padahal dulu baik baik saja. Mohon direspon..."</t>
  </si>
  <si>
    <t>Endi Sugandi</t>
  </si>
  <si>
    <t>"Keluahan pengguna tolong cepat ditanggapi, sebelum saya dan teman kami di sini benar" kecewa dengan pelayanan yang diberikan XL, terutama di masalah jaringan internet nya, yang lain nya sudah cukup, kami gak butuh promo kartu baru kuota besar kalau jaringan internet nya Lag/Bug kayak gini, tolong prioritaskan kami sebagai pengguan setia XL, jaga kenyamanan bersama, kami disini beli kuota dan tidak mempermasalahkan itu, kami ingin hanya di jaringan internet nya aja harus OK Ping nya tinggiÃ°Å¸â„¢ÂÃ°Å¸ÂÂ¼"</t>
  </si>
  <si>
    <t>Rika Endari</t>
  </si>
  <si>
    <t>"Kenapa sekarang signal XL makin buruk ya? Signal SOS trus, sekali nya signal 4G tapi tetap lemot, sudah dicoba restart hp, dicoba mode pesawat tetap saja hasilnya lemot. Apakah sedang ada perbaikan system atau bagaimana? Padahal sebelumnya signal selalu bagus, tolong bantuannya agar signal bagus dan cepat kembali. Lokasi saya ada di Jawa Barat kab. Subang Kec. Purwadadi Desa Purwadadi Timur Dsn. Tumaritis"</t>
  </si>
  <si>
    <t>Abi Azis</t>
  </si>
  <si>
    <t>"Jelek amat sih seperti nya aku akan pindah operator telkomsel aja .biar gak ribet. emang nya sinyallo kenapa jelek xl saya mohon diperbaiki...,..."</t>
  </si>
  <si>
    <t>Yusup Supriadi</t>
  </si>
  <si>
    <t>"parah aplikasinya ga bisa buat daftar paket internet .....perbaiki dong aplikasinya.....kondisi udah diupdate no aktif...apalagi coba......tpi msh aja tetep ga bisa dibuka.....ampuuuuuuuun dah aaaah...aaaah"</t>
  </si>
  <si>
    <t>June Reizha</t>
  </si>
  <si>
    <t>"Sudah 3x saya complain dan buat laporan mengenai perihal data saya yang tidak sesuai pada aplikasi My XL namun tetap saja tidak ada perubahan dan perbaikan sama sekali.. selalu saja di infokan menunggu, clear chace, hapus data, logout, reinstall namun hasilnya tetap nihil !! Perihal semudah itu saja kenapa bisa begitu sulit sekali.. belum lagi dengan jaringan &amp; koneksi data yang selalu saja trouble.. kalau seperti ini saya jadi berfikir untuk stop saja menjadi pelanggan XL Prioritas ini !!"</t>
  </si>
  <si>
    <t>Andri Meidianto</t>
  </si>
  <si>
    <t>"XL ini gimana sih saya punya pulsa 10.000 terus saya beli paket 7 hari 8800 enggak bisa bisa alasan nya gagal. Terus akhir kuota kemakan terus sampai sekarang tinggal 3000. Tolong ya XL jangan kayak gitu dong masa makanin kuota.... Parah banget .... Udah gitu paketnya mahal banget lagi. Saya kapok pake ini pulsa. Makanin kuota mulu"</t>
  </si>
  <si>
    <t>Aura Kirana</t>
  </si>
  <si>
    <t>"xl emg gillaa . bisa2nya kmaren baru beli kuota .. skg udah gabsa kepake . tba2 ngilang . malah balik ke paket awal . gmna si iniii !!!!!!! rugiiiiiiii kalo gni caranya"</t>
  </si>
  <si>
    <t>Ari Ahmad</t>
  </si>
  <si>
    <t>"XL ancenTaikk ,gk konsisten dengan paket yg disediakan, kayak hantu aja ,kdg ada kdg gak ada , yg paket biasa aja hargany gk ngotak ,tolong kasihlah paket 1bln yg terjangkau"</t>
  </si>
  <si>
    <t>Salim Bae Oug</t>
  </si>
  <si>
    <t>"dulu xl gak lemot kaya sekarang pdahal kouta baru sinya 4g tpi buat internetan lemot bnget, udah cape sama XL sinyal lemot terus,makasih ya untuk selama ini good bye,mah pindah ke yang lain aja"</t>
  </si>
  <si>
    <t>Andri Fh</t>
  </si>
  <si>
    <t>"aplikasi sangat membantu saya dalam pengecekkan: 1. nomor telepon pribadi 2. cek pulsa mudah 3. cek masa aktif mudah 4. cek paket mudah dan simple, penjelasan kuota2nya sangat dimengerti. 5. bisa beli paket dan mudah dalam pencarian paketnya thanks XL Axiata semoga Maju Dan Jaya Xlalu"</t>
  </si>
  <si>
    <t>Indah Ponsel</t>
  </si>
  <si>
    <t>"Baik jaringan/signal sangat susah didaerah Tanjung Morawa Sumatera Utara...namun ketika dikota Medan gak ada masalah....artinya XL belum menjangkau setiap daerah padahal bukan dipelosok banget daerah saya ini"</t>
  </si>
  <si>
    <t>Tri Sulistiyowati</t>
  </si>
  <si>
    <t>"XL kaya mana sih? Dulu2 lancar tanpa hambatan, sekarang saat sy malah pindah no xl malah sulit sekali jaringannya, sinyal 4G sering 2strip sj. Snga tdk nyaman dan mnghambat aktivitas sekali. Gmn nih xl solusinya?"</t>
  </si>
  <si>
    <t>Viny Vhiny</t>
  </si>
  <si>
    <t>"parah xL... tak bisa buka... sekali masuk ke internet jaringan internet anda di blokir. padahal baru isi. 40gb. makin ke depan makin buruk aja... jaringan juga sering urgent.... untung kaga.... rugi PASTI"</t>
  </si>
  <si>
    <t>Fauzy Nafarin</t>
  </si>
  <si>
    <t>"Udah di update beberapa kali, tapi sampai sekarang gabisa ngambil bonus scan vocher, padahal 2bulan yang lalu selalu bisa, kenapa baru baru ini gabisa??? Udh 3 kali isi scan vocher lohhh, pen ngambil 3 bonus itu, tapi sampai sekarang tetap gabisa ... Hmm... Gimana nichhhhh ??? -,,,-"</t>
  </si>
  <si>
    <t>Triani _Agustina95</t>
  </si>
  <si>
    <t>"Apk nya sdh bbrpa hari ini td bs digunakan. Sllu muncul tulisan "myXl tdk menanggapi, bla bl bla". Sudh install ulang, restrt hp, hapus cache ttp tdk bs digunakan. Smoga bs mjd catatan untuk perbaikan kdepannya"</t>
  </si>
  <si>
    <t>Agung Fadilah Rizki</t>
  </si>
  <si>
    <t>"Sekarang lebih baik kak. Tp lebih stabil saat di buat koneksi haringan di H+. Untuk di kota malang daerah blimbing dan dinoyo 4G nya masih kurang stabil."</t>
  </si>
  <si>
    <t>Kikii Yubikiri</t>
  </si>
  <si>
    <t>"admin tolong ini aplikasi nya tidak dapat di buka,ada tulisan dalam proses perbaikan,dan saya suruh hubungi 817 katanya suruh update kok di sini gk bisa di update tolong perbaiki segeraÃ°Å¸â„¢ÂÃ°Å¸â„¢Â"</t>
  </si>
  <si>
    <t>Ahmad Jaenudin</t>
  </si>
  <si>
    <t>"Jaringan full 4G Tapi busuk tidak mau ngangkat loading mulu. Jaringan sangat busuk di daerah ciomas bogor. Perbaikilah karna sia sia saya beli quota !!!"</t>
  </si>
  <si>
    <t>Rian Murdi</t>
  </si>
  <si>
    <t>"Sudah 1minggu kartu XL ku sinyal nya ilang ilangan bahkan klo di rumah kaga ada sinyal tanda X klo di luar mendingan tolong dong di perbaiki untuk pihak XL, paket data banyak jadi ga kepake gara gara sinyal tanda X"</t>
  </si>
  <si>
    <t>Surya Hadi Syahputra</t>
  </si>
  <si>
    <t>"kartu XL memang kartu andalan ... ibarat pemain cadangan tp bermanfaat.. di saat Telkomsel sering ngadat dan macet jaringannya.. ampun pakai Telkomsel.. tp XL bisa menggantikan jaringan tersebut.. mantap XL.. walaupun kamu cadangan tp bermanfaat disaat yg tepat"</t>
  </si>
  <si>
    <t>Egg All</t>
  </si>
  <si>
    <t>"Selama penggunaan yang sudah kurang lebih 5th saya puas, terlebih ketika ada info pengaduan masalah (dilayani dengan baik serta cepat dan tanggap).. nice good"</t>
  </si>
  <si>
    <t>Todi Kusuma</t>
  </si>
  <si>
    <t>"Tolong perbaiki systemnya. Paketan habis harusnya internetnya di stop jangan langsung potong pulsa. Tiba2 Pulsa sudah kesedot 10 - 20rb. Setiap ada pulsa pasti habis ga jelas"</t>
  </si>
  <si>
    <t>Muhammad Raihan Lubis</t>
  </si>
  <si>
    <t>"Saya cukup puas dengan maya merespon tanggapan dan customer servis telp. Tetapi yang membuat saya tidak puas adalah ketika membeli plan/bosteers -prio apps bagian prio komplit selalu gagal dari apk ini. Ingin nya itu ketika beli langsung berhasil saya uda coba lebih dari 6 kali buat pembelian selalu gagal. Gak tau problem dari mana sementara beli bagian apk lain selalu berhasil dengan cepat. Saran saya yang begini harus segera di perbaiki soal pembelian supaya tdak ad lagi yng kecewa seprti saya"</t>
  </si>
  <si>
    <t>Captain Morgan</t>
  </si>
  <si>
    <t>"baru 1 hari loh pake xl padahal sinyal udh enak bnget, tpi ko besok nya langsung gabisa internetan?, saya baru aja beli loh blom ada 1 minggu ga mungkin kuota saya abis"</t>
  </si>
  <si>
    <t>Rendy Andriansyah</t>
  </si>
  <si>
    <t>"Sinyal XL kenapa selalu menurun gak seperti dulu, lancar lancar aja. Tapi sekarang malah sering lag ketika main game online. Mohon di perbaiki untuk kenyamanan pelanggan. Terima kasih"</t>
  </si>
  <si>
    <t>Riski Romadhon</t>
  </si>
  <si>
    <t>"Ini data saya di berhentikan kenapa yah ada orang yang tidak bertanggung jawab mengaku dari XL yang memberhentikan paket XL esktra combo 30 hari min cara biar semula lagi katanya suruh beli paketan 50ribu apa kah benar min? Gimana min cara mengembalikan paket yang terhenti?"</t>
  </si>
  <si>
    <t>Shireen Safia Azhar</t>
  </si>
  <si>
    <t>"Beberapa trakhir ini jaringan nya sering error klo sya ada d rumah .. jaringan internet nya E trus ilang , padahal sblum2 nya masih bagus .. udah hub xL care &amp; coba bbrapa cara yg d ksih tau oleh admin ny , tetep aja error .. Makin ksini , bukan nya makin bagus tpi makin gak jlas .. Mau pindah aja ke provider lain .."</t>
  </si>
  <si>
    <t>Yoel Hutagalung</t>
  </si>
  <si>
    <t>"Untuk beberapa bulan ini XL jaringan lemot parah tidak di mana mana pasti lemot.saya mengunakan XL SUDAH LAMA BARU BEBERAPA BULAN INI PARAH DAN LEMOT.Tolong kebijakan nya untuk jaringan tidak mengecewakan custemer nya mohon maaf apa bila ada tutur kata tidak sepantas nya.TERIMA KASIH AGAR ADA TINDAKAN UNTUK PELAYANAN NYA."</t>
  </si>
  <si>
    <t>Hanafi Nur Obiyansa</t>
  </si>
  <si>
    <t>"Jelek banget, sinyal nggk pernah stabil... Minta tolong lah, kualitas sinyal internet diperbaiki lagi, masa dpake main game lngsung otomatis turun ke HSDPA atau 3G, sama aja nggk bisa dipake jalan gamenya... Pengen stay di xl karena paket yg lengkap dan cocok buat banyak orang, tpi kalo sinyal bgini harus mikir mikir lagi kayaknya"</t>
  </si>
  <si>
    <t>Hendro Papilaya</t>
  </si>
  <si>
    <t>"Padahal udah lama pakai xl dan biasanya pakai paket yang dibagi 2 sama paket YouTube.. tapi kok akhirÃ‚Â² ini play diyoutube udah gak kepake kuota YouTube nya.. malah kemakan kekuota utamanya.. gimana ya pihak xl.. kan kita rugi kalo beli paket internet dan YouTube nya.. padahal tujuannya agar bisa nikmatin paket YouTube nya juga"</t>
  </si>
  <si>
    <t>Siti Maesaroh</t>
  </si>
  <si>
    <t>"halo ka saya mau tanya ko akhir2 ini XL kurang bagus ya saya udah beli 10 ribu buat di paketin tapi pas mau bayar pulsa saya berkurang tapi paketan nya blom masuk tolong ya di benerin XL nya TOLONG biar saya bisa menggunakan nya enak...saya udah beli pulsa tapi selalu aja ada masalahÃ°Å¸ËœÂ­Ã°Å¸ËœÂ­Ã°Å¸â„¢ÂÃ°Å¸ÂÂ»"</t>
  </si>
  <si>
    <t>Husnul Fikri Simatupang</t>
  </si>
  <si>
    <t>"Over all bagus, tapi belakangan ini, sering terjadi ngebug disaat mau aktifkan paket bonusnya, sudah berulang dicoba tetap ngebug. Jadi tolong diperbaiki aja"</t>
  </si>
  <si>
    <t>Andhika Fauzi Saepudin</t>
  </si>
  <si>
    <t>"saya dapet bonus kuota 10gb (1gb nation + 9 regional) 3 hari setelah isi 100k, karna udah dapet kuota saya gadulu beliin tuh pulsa karna udh pake pengaman pulsa biar gk kepake. setelah 5 jam saya cek pulsa syaa jd 27k astaga kesel banget asli"</t>
  </si>
  <si>
    <t>Dewi Kim</t>
  </si>
  <si>
    <t>"Apa nih maksudnya,XL? Aku beli 2x kartu perdana yang 28 GB isinya malah 18GB..biasanya gak pernah gini.. Jadi rugi gak sih ini..rugi 10 GB 2x.. Udah gitu jaringannya sekarang agak lelet akhir2 ini bikin emosi padahal jaringannya full..rasanya pengen tetep kasih bintang 2 aja..sorry tapi emang aku kesel banget.."</t>
  </si>
  <si>
    <t>Rizky Nurhandy</t>
  </si>
  <si>
    <t>"Woi....pindah ke live.on aja,,,,,, jaringan xlnya lebih kenceng d situ, koutanya jga lebih gede.......... Cobain dah jauh lebih murahhhhhhh... Dri pda sisa pulsa lu tau" Ilang, mending beli full kouta aje................Ã°Å¸Â¤â€˜Ã°Å¸Â¤â€˜"</t>
  </si>
  <si>
    <t>Nurman Susanto</t>
  </si>
  <si>
    <t>"Aplikasi merugikan. Pulsa otomatis terpotong jika tidak aktifkan kuota. Padahal saya internet pakai wifi dan paket kuota pakai provider lain. Dalam 2-4 hari pulsa dari 25rb jadi 2rb. Hati2"</t>
  </si>
  <si>
    <t>George Everest Evan</t>
  </si>
  <si>
    <t>"XL ini nggak bagus, pantasan orang pada ganti provider lain. Akun saya sudah 2 kali diblokir sama pihak XL, padahal jatah kuota saya itu masih sampai bulan januari 2022. Bagaimana ini solusinya? Sudah bayar 700 ribu udah 2 kali blokir. Bagaimana ini solusinya???"</t>
  </si>
  <si>
    <t>Bagus Suluharto</t>
  </si>
  <si>
    <t>"Deskripsi paket nya menipu! Katanya kalau beli paket yg sama sebelum masa aktif paket habis, kuota nasional diakumulasi. Sisa kuota paket saya masih 20GB an, barusan beli paket yg sama, sisa kuota akumulasi cuma 1GB??!! GIMANA INI???"</t>
  </si>
  <si>
    <t>Remonstar Official</t>
  </si>
  <si>
    <t>"Sore... Aku kasih Ã¢Â­ÂÃ¢Â­Â. Kenapa aku kasih Ã¢Â­ÂÃ¢Â­Â, karena setiap aku beli pulsa Rp. 100.000 ke atas selalu ada potongan/berkurang pulsa. Padahal kuota saya masih banyak. Dan saya sudah coba juga di saat isi prabayar pulsa data internetnya saya matikan tetapi tetap sama Pulsa saya berkurang/terpotong..l Harusnya kalau saya boleh saran pelanggan/pengguna setia XL dikasih reward dan bonus. Bukan di kasih kekecewaan. Mungkin itu saja kritik beserta saran saya yang bisa disampaikan Terima kasih. Selamat sore"</t>
  </si>
  <si>
    <t>Taufik Akbar</t>
  </si>
  <si>
    <t>"Gila signal xl down terus. Bikin gw pengen berpaling ke operator lain. Padahal gw pelanggan setia xl dari jaman bebas dan jempol. Sudah berapa tahun itu min gw pake xl? Masa signal nya down terus. Mana klo telepon biasa bikin salah persepsi terus gw sama client gegara signal xl down, masa iya kudu gw nelpon wa sih ke client! Tolong dong dibenerin signalnya. Di tempat usaha gw daerah warnasari-cilegon-banten dan dirumah gw komplek pci-harjatani-banten. Tolong min"</t>
  </si>
  <si>
    <t>Sahrull 12</t>
  </si>
  <si>
    <t>"Dasar pemborosan uang orang..membuat pelayanan yang buruk. Pulsa saya hilang dan hangus dan terpotong sampai nol. Padahal saya masih mempunyai kuota aktif. Saya sudah aktifkan fitur agr pulsa tidak tertarik penggunaan di luar. Dan malah pas saya check semua pulsa saya hangus jancokkkkk...."</t>
  </si>
  <si>
    <t>Adi Gunadi</t>
  </si>
  <si>
    <t>"Satu dulu klo bisa stengah saya kasi bintang, sinyak jelek, tidak pernah bagus, tolong di perbaiki kalo mau di kasi rate tinggi, makin lama makin ancur sinyal xl"</t>
  </si>
  <si>
    <t>Mohammad Nashrullah</t>
  </si>
  <si>
    <t>"Pake XL PRIORITAS BEBAN BNGET BNGKE. Saldo kepotong gak jelas. Beli pulsa masuknga kmna g jelas. Hitory transaksi ga ada. Beli paket prioritas deposite masuknya kmna g jelas. Percuma paket mahal" tapi nyusahin. 300k diembat Maya live chat jg gk da solusi. APK PENIPU. Aplikasi burik. Jelek banget."</t>
  </si>
  <si>
    <t>Halim Putra28</t>
  </si>
  <si>
    <t>"Makin ke sini makin gx jelas xl sumpah sinyal internet lemot nya minta ampun gx bisa di gunakan sama sekali padahal bru isi kuota,mode pesawat udh restart hp udh, pindah jaringan dri 2g 3g udh, ubah VPN udh,live chat MAYA PUN sudah plh gx ada respon dri maya yg bener dong masa profaider besar kayak gini sinyal nya payahh"</t>
  </si>
  <si>
    <t>Mardiansyah Putra</t>
  </si>
  <si>
    <t>"Pengalaman saya berdasarkan deskripsi dan penjelasan mengenai aplikasi MyXL tidak seperti yang saya duga dan tidak seperti yang saya kira. Saya membeli kartu perdana SUPER NGOBROL, dan mendapatkan bonus berupa kuota internet, dan gratis menelpon. Setelah unduh aplikasi MyXL, saya ingin mendapatkan yang lebih seperti kuota, Smartphone atau yang lainnya, terjadi kesalahan oleh si siapa??? Begitulah ulasan dari saya mengenai aplikasi MyXL yang di sediakan oleh provider XL-axiata Tbk?"</t>
  </si>
  <si>
    <t>Yazh Nugraha</t>
  </si>
  <si>
    <t>"Jaringan XL makin ga ada harga nya,lemot banget,4g Uda tapi masi lemot, pas tes jaringan sampai 100kb,pas di coba buat youtube ga nyampe 30kb,masa sinyal 3g lebih bagus,ya bagus cuma di kecepatan unduh sama unggahan nya,ping untuk main game malah sama aja, buruknya keterlaluan,saya sudah pake cara apapun (mode pesawat, restart,dm lu ga di jawab,ganti APN,ganti ke divice lain) sama aja, sekiranya kalau di daerah saya tidak cukup sinyal maka hilangkan saja kartu jelek ini, percuma beli ga bisapkai"</t>
  </si>
  <si>
    <t>Khien Chn</t>
  </si>
  <si>
    <t>"Tolong di tambah dan diperhatikan pelanggan yg ada di desa...karena kadang kalo di desa diluar rumah ada sinyal..eh masuk rumah ada sinyal tapi internet gk bisa..."</t>
  </si>
  <si>
    <t>Fahreza Liansyah</t>
  </si>
  <si>
    <t>"tolong jaringan XL, jangan ketika saya nge-game jaringan Berubah menjadi 3G ketika lihat yang Ig jaringan 4G kencang pula lagi ke racing, hp saya rusak gara" jarigan anda."</t>
  </si>
  <si>
    <t>Ricky Snapshot</t>
  </si>
  <si>
    <t>"Habis update kok malah lemot &amp; force close terus ya?? Jangan suruh saya hubungi CS atau apapun. Apa gunanya kolom komentar di google play kalau tidak langsung di follow up."</t>
  </si>
  <si>
    <t>Nnztan_</t>
  </si>
  <si>
    <t>"Gak tau kenapa tapi akhir akhir ini pas aku mau beli kouta pasti selalu ngelag, tapi ini aplikasinya bagus kok gampang lagi jadinya beli paketan terus harganya juga terjangkau pokoknya bagus deh, cuman tolong ya kak kasi tau kenapa xl akhir akhir ini bisa lag banget pas beli kouta hehe:)"</t>
  </si>
  <si>
    <t>Yxgx Hrmwn</t>
  </si>
  <si>
    <t>"Jaringan sebenernya bagus di mana tempat aku selalu 4G only. Tapi terkadang koneksi internet terputus dan sangat menganggu saat kita dalam keadaan urgent kerja, tolong di perbaiki. Terimakasih"</t>
  </si>
  <si>
    <t>Shuba Giyok</t>
  </si>
  <si>
    <t>"Eror gak bisa di buka , udah saya praktekin cara situ tapi tetep aja gak bisa, terus ada tulisanya "aplikasi tidak menanggapi" emang apk gak guna."</t>
  </si>
  <si>
    <t>Sidiq Rahman</t>
  </si>
  <si>
    <t>"Xl sebenarnya aku suka, karena di daerah ku jaringan xl lebih maju di banding Telkomsel Hanya saja saya sudah bertahun tahun pakai xl tapi bonusnya dikit amat:( Kalau telkomsel bonusnya enak, paket unlimited 7 hari harganya cuman 7 ribu Walaupun bonus telkomsel nya tdk sering muncul tapi setidaknya bisa membuat senang penggunaannya Mohon di tindak lanjuti yah"</t>
  </si>
  <si>
    <t>Mugi Heru</t>
  </si>
  <si>
    <t>"ahahahhahaha dari sekian pengguna xl yang komen pernah saya alami semua. dan yang saya alami saat ini sinyal susah padahal dilokasi kabupaten, tapi kayak di daerah plosok, paling plosok terplosok apa lagi. masih tidak ada perbaikan? banyak komentar keluhan, bintang 1. paling suruh chat ke mba maya. ribet, merepotkan."</t>
  </si>
  <si>
    <t>Yudhistira Al Jabbar</t>
  </si>
  <si>
    <t>"Kenapa makin ke sini signal xl makin buruk ya?bahkan aplikasi my xl sering berhenti dengan sendirinya..bahkan pengguna xl yang lain di daerah kami juga mengeluhkan hal yg sama!!apa perlu kami pindah ke operator lain agar xl mau memperbaiki kualitasnya..!!lokasi saya ada di wilayah DIY kab bantul kec sanden kel srigading ds sangkeh."</t>
  </si>
  <si>
    <t>Isnaini Isnaini</t>
  </si>
  <si>
    <t>"Kenapa xl kok selalu ganguan ya padahal ada kepentingan malah gangguan tolong dong di perbaiki lagi?????????????????????????????????????????????????????????????????????????????????????????!Ã‚Â¡!!!!!!!!!!!!!!!!!!!!!!!!!!!!!!!!!!!!!!!!!!!!!!!!!!!!!!!!!!!!!!!!!!!!!!!!!!!!!!!!!!!!!!!!!!"</t>
  </si>
  <si>
    <t>Captainjack</t>
  </si>
  <si>
    <t>"Dari sekian banyak aplikasi provider cuma aplikasi ini yang login susahnya minta ampun, ada error ada mental sendiri ada muter2 aja, udah uninstal 10x trus instal lagi masih sama aja susah. Dulu juga pake aplikasi ini dan udah 1thn lebih baru pake aplikasi ini lagi masih aja tetap susah masuknya. Saya rasa aplikasi provaider lain tidak begini2 amat susahnya kalau mau login. Developernya ngapain aja?"</t>
  </si>
  <si>
    <t>Romadhon D. Prakoso</t>
  </si>
  <si>
    <t>"XL penipu! Udah sering kejadian, sebelum isi pulsa banyak pilihan menu paket murah diskon eeh setelah isi pulsa menghilang tuh menu diskonnya malah berubah jadi paket SULTAN. Saya ini orang biasa bos beli paket sesuai kebutuhan dan kemampuan!"</t>
  </si>
  <si>
    <t>Feity Likuayang</t>
  </si>
  <si>
    <t>"aku kasih 5 bintang karena bagus apk nya... sangat membantu dan cepat prosesnya... nggak nyesal deh udah download... yang belum download ayo buruan download dan claim hadiah hadiahnya dari isi ulang kuota, dll... pokoknya bagus apk nya..."</t>
  </si>
  <si>
    <t>Doi Kurniawan</t>
  </si>
  <si>
    <t>"signal makin ga jelas,Call Center juga ga jelas,pulsa juga hilang ga jelas,entah kapan jelasnya,ayo dong XL,kamu itu faforite ku sejak aku masih ABG,kini anaku udah 3, segera lah waras. mahal tapi jelas kan masuk akallah.Ã°Å¸â„¢ÂÃ°Å¸â„¢ÂÃ°Å¸â„¢Â"</t>
  </si>
  <si>
    <t>Budi Ms</t>
  </si>
  <si>
    <t>"Alhamdulillah sampai saat masih cocok untuk saya...untuk sinyalnya jarang bermasalah... jangkauan pun luas... banyak pilihan pakety... harganya pun bervariasi dari yang murah sampai yang mahal...tapi tinggal sesuaikan dengan kebutuhan anda..."</t>
  </si>
  <si>
    <t>Fridha Masya</t>
  </si>
  <si>
    <t>"Sekarang XL burik, kesel bet dari tadi saya mau main game, nonton youtube atau ig lelet mulu. Emang ada masalah kah tower xlnya udah ngalamin sampe 2 bulan lag jaringannya -_-"</t>
  </si>
  <si>
    <t>Cak Hari</t>
  </si>
  <si>
    <t>"Gw kesel sama lu lama" XL. Udah jaringan ilang mulu pa lgi sabtu, minggu dah sinyal ilang . Sinyal internet juga sama. Beli kuota di my xl juga ngak bisa"... Sebetulnya yg dijual ini apa sih... Sya pengguna XL yg tergolong lama dan merasa kecewaaa..... Sangattt kecewaaaaa"</t>
  </si>
  <si>
    <t>Jeslyn Dhini Manalu</t>
  </si>
  <si>
    <t>"X/ manis-manis banget penawaran nya tapi tidak sesuai banget yang diterima. Sore hari ini saya isi pulsa dengan tujuan memperpanjang masa aktif kartu, tertera jika mengisi pulsa 15rb akan diperpanjang 30hr. Tetapi yang saya terima hanya 20hari, setelah menghubungi costumer servis, pihak XL bilang bahwa isi pulsa 25rb baru diperpanjang 30hr. Hahaha XL SANGAT TIDAK DAPAT DIPERCAYA. XL jaringan buruk, pelayanan buruk, tidak mau tanggung jawab, bodoamatan sama konsumen. GAK AKAN MAU PAKAI XL"</t>
  </si>
  <si>
    <t>Wahyu Joko</t>
  </si>
  <si>
    <t>"Fitur lebih menarik, ada pembatas pulsa agar tidak terpotong saat paket internet habis. Sekedar kritik dan saran. Setiap mau tahun baru dan setiap mau lebaran. Selalu saja trouble internet nya. Mohon kedepan nya lebih di tingkatkan lagi kualitas jaringannya. Terimakasih"</t>
  </si>
  <si>
    <t>Alipok</t>
  </si>
  <si>
    <t>"Aplikasinya bagus,tapi sering-sering kasih promo yang bagus dong! Jangan promonya yang paket tinggi doang, kasih kek promo yang bawah gitu!, sekitar 20k-60k biar kejangkau dengan orang-orang ekonomi pas-pasan. Sekian terimakasih. Salam Pejuang Diskon%"</t>
  </si>
  <si>
    <t>Ferdian Pratama</t>
  </si>
  <si>
    <t>"Sinyal XL tadi 4g kadang-kadang berubah jadi H+ gimana si XL Ini saya dah langganan XL tapi tetep aja sinyal nya ga di perbaiki, katanya XL akan mengembangkan sinyal 5g? Terus kapan itu akan di Kembang kan nya, apakah si 5g itu bagus atau sama aja kek 4g itu? Tolong jawab ya pihak xl"</t>
  </si>
  <si>
    <t>Muhammad Rhama</t>
  </si>
  <si>
    <t>"Saya sangat kecewa sekali sama xl ,Tolong kepada admin Xl silahkan benarkan dulu jaringan nya jangan sampe pihak XL banyak merugikan orang lain terus ,kalian pihak xl emang untung banyak karna masyarakat disini banyak yg beli jaringan anda tapi anda memberikan kualitas jaringan yang sangat buruk kepada kami ,ingatt jangan hanya ingin untung sendiri!!!"</t>
  </si>
  <si>
    <t>Wanda Safi'I</t>
  </si>
  <si>
    <t>"Aplikasi ini bagus untuk mempermudah pengisian pulsa dan paket data namun disini saya sebagai pengguna pertama kali memakai kartu perdana XL ini kadangÃ‚Â² koneksinya suka lemot padahal hp Alhamdulillaah udah support jaringan 4G namun tetep aja ketika saya di dalam ruangan maupun di dalam ruangan tetep aja jaringan nya suka lemot dan terkadang suka berubah jadi 3G serta ketika jaringan 4G pun suka lemot, mohon di tingkatan lagi mutu pelayanannya dan jaringannya"</t>
  </si>
  <si>
    <t>Arman 65</t>
  </si>
  <si>
    <t>"uang 80rb melayang..beli kuota sinyal internet langsung gak bisa di gunain...sudah lebih dari 1 minggu tapi gak ada pulihnya internet...sangat kecewa .makan gaji buta kalau gak mampu kasih pelayanan yg baik mending hilangkan saja provider xl."</t>
  </si>
  <si>
    <t>Erni Eliyani</t>
  </si>
  <si>
    <t>"Xl sehaaaattt ??? Kenapa aneh bgt signal nya... Data nyala tapi signal X (cakra ) gak jelas bgt ... Kdang 4G nya ilang... Kenapa ya... Tolong di perbaikiÃ°Å¸â„¢Â"</t>
  </si>
  <si>
    <t>Mart Dian</t>
  </si>
  <si>
    <t>"Sumpah XL busuk banget di daerah rumah gua. Unlimitednya gak bisa kepake sama sekalii. Tolong dong XL masa buat masuk app my XL harus nunggu tengah malemm. Masa kecepatan 4G sama H+ nya lebih cepat H+ sih?"</t>
  </si>
  <si>
    <t>Ezales_Rzl</t>
  </si>
  <si>
    <t>"Jaringan xl gak ngotak parah! Main game selalu ping merah terus, jadi gk pernah jalan. Tolong ini jaringan diperbaiki!!! Jangan mengandalkan harga paket yang ditawarkan."</t>
  </si>
  <si>
    <t>Tansu Simbolon</t>
  </si>
  <si>
    <t>"Tolong lah!!!!!!!! developer xl,ÃƒÂ¬ni kenapa gak bisa Paketnya ini ,ku beli kuota tik tok sama ml tapi gak bisa Paketnya ini,tapi kata kalian bisa beli kuota tertentu tampa kuota utama,nyatanya gak bisanya,yang kek mana nya cuman katanya pulsa gua jadi habis sia sia beli kuota gak berguna, mohonlah buka aplikasinya myxlnya gak bisa kekmananya harus beli kuota utama Bilang-bilang lah jangan kalian tipu kami user."</t>
  </si>
  <si>
    <t>Milla Resh</t>
  </si>
  <si>
    <t>"Kenapa XL merugikan para penggunax.. .awal saya baca komentar di sini sdkit tdk prcaya... Tp setelah saya membuktikan saya pakai perdana XL BENAR-BENAR KECEWA Ã°Å¸ËœÂ¤ diisi pulsa biasa disedot tiap hari katanya biaya internet padahal sebelumnya saya sdh beli paketan INTERNET XL ... . &amp; anehnya juga saya punya paket internet 1.35 Gb dg jaringan 4g yg full dan HP SAYA VIVO Y33S .. Tp dipakek bukak medsos lemot gag karuan.. .SANGAT KECEWAÃ°Å¸ËœÂ¡Ã°Å¸ËœÂ¡Ã°Å¸ËœÂ¡"</t>
  </si>
  <si>
    <t>Rara Fahira An Nuur</t>
  </si>
  <si>
    <t>"Sumpah gatau kenapa jaringan XL makin kesini makin jelek koneksinya udah 4G padahal udh gitu daerah nya masuk VoLTEjuga,mau streaming video,nugas ato game jadi ngga nyaman,perasaan bulan lalu aman" aja,tapi sekarang tu harus sabar (udah nyoba di restart,mode pesawat dll) tetep aja gaada perubahan,kalau cuma sekali/dua kali mah masih wajar tiba" ilang sinyalnya tapi ini berkali" dan hampir tiap hari."</t>
  </si>
  <si>
    <t>Faik Abdillah</t>
  </si>
  <si>
    <t>"Sinyal gimana sih makin lama makin nambah buruk bukannya nambah bagus make kartu lain lancar ini make xl dari dlu malah nambah buruk, tolong perbaikin sinyal biar lancar lagi jangan harga mahal sinyal jelek develop tolong banget sinyal nya di perbaiki jadi buat belajar sama ngirim tugas biar tidak lemot lagi apa lgi pas ulangan sinyalnya susah banget jadi kena imbas nya ."</t>
  </si>
  <si>
    <t>Abdillah Alfarizi</t>
  </si>
  <si>
    <t>"Saya rugi 60 ribu gegara xl, saya isi pulsa 60 ribu lalu saya masuk ke aplikasi My XL ternyata ada bonus isi pulsa yaitu kuota sebesar 2GB dengan biaya 0 rupiah, lalu saya ambil, tiba tiba pulsa saya habis jadi seribu, aneh kenapa tiba tiba pulsa yang berkurang bukannya paket internet yang berkurang, setelah saya nanya ke layanan My XL ternyata ada fitur kontrol pulsa, saya sama sekali enggak tau dan baru tau fitur itu ketika saya dirugikan. Saya seorang pelajar dengan keuangan yang miskin"</t>
  </si>
  <si>
    <t>Joni Fawarman</t>
  </si>
  <si>
    <t>"Hai..saya sebagai salah satu pengguna XL..sangat kecewa dan miris sekali..karena setiap saya membuka my xl..selalu saja susah dan lama loadingnya padahal sinnyalnya penuh dan setiap menggunakan internet sering kali hilang sinyal dan kembali lagi..padahal saya berada dikota besar..dan saya rasa iklan xl tidak sesuai dengan kenyataan yg ada..maaf..memang itu yg saya alami..thanks"</t>
  </si>
  <si>
    <t>Ade Febrian</t>
  </si>
  <si>
    <t>"Ini saya beli paket akrab kok gabisa ngundang nomer lain? Notifnya bilang gunakan nomor yg belum terdaftar paket akarab sebelumnya, pdahal nomer yg saya undang memang blm terdaftar, kendalanya apa?"</t>
  </si>
  <si>
    <t>Urudin Rudi</t>
  </si>
  <si>
    <t>"Kok ini aplikasi mhXL-cek kuota Update-update terus berulang-ulang kali ni dah kesekian kalinya maunya sekali Update saja bar Ng banyak makan data,tolong diperbaiki bar pemakai XL merasa nyaman smua ok ... Ã°Å¸Â¤Â£Ã°Å¸Â¤Â£Ã°Å¸â„¢ÂÃ°Å¸â„¢Â."</t>
  </si>
  <si>
    <t>Aris Riswanto Djojohadikusumo</t>
  </si>
  <si>
    <t>"Saran untuk teman-teman pengguna kartu XL, apabila kita isi ulang pulsa 100rb keatas harus cepat digunakan untuk pembelian kuota internet agar pulsa tersebut tidak hilang/raib dengan sendirinya. Meskipun kuota internet sisa sebelumnya masih banyak namun yang tersedot adalah pulsa. Sangat disayangkan bukan? kita sudah beli pulsa mahal-mahal untuk persiapan beli kuota internet selanjutnya malah pulsa tersebut hilang/raib. Operator! tolong lindungi pulsa para konsumen, terima kasih."</t>
  </si>
  <si>
    <t>Alwi Setiawan</t>
  </si>
  <si>
    <t>"Saya mau komplen sebagai pengguna XL Prioritas, pembayaran booster senila 16.500 rupiah lewat gopay sudah diambil oleh pihak XL tapi paket internet 5 GB 7 hari yang saya inginkan tak kunjung datang. Mohon secepatnya diproses agar sesuai dengan harapan!!!"</t>
  </si>
  <si>
    <t>Dãžâ±V</t>
  </si>
  <si>
    <t>"aplikasi jelek! udh di update ttp gabisa dibuka loading terus error gak jelas, pokoknya jelek! nyusahin orang aja padahal kan perlu internet, kalo ga bisa gini mau gmn!!?? udah pada ganti aja ke provider yang lain deh xl makin lama makin aneh, lemot, jangan pake lagi! setiap Jumat dipake google meet selalu gak ada sinyal "EDGE" jelek bgttt pokoknya"</t>
  </si>
  <si>
    <t>Guntur Aristoni</t>
  </si>
  <si>
    <t>"Min mau nanya XL banyak yg korupsi yah seharusnya uang hasil pembelian apapun xl itu untuk memaksimal kan sinyal dan memperkuatnya tapi kenapa makin kesini udh mahal sinyal jelek parah yah kalo memang banyak yg korup mending anda tutup merugikan Jaringan anda di bandingkan sinyal lain anda lebih parah semoga kedepannya bisa bangkrut dan hilang dari Indonesia yah karna merugikan"</t>
  </si>
  <si>
    <t>Ardo Simanungkalit</t>
  </si>
  <si>
    <t>"Selamat siang min,,,tgl 10 desember 2021 saya isi paket xtra combo reguler yg 20G seharga Rp.58.000.. tapi q paket nya hari ini tiba tiba berubah jadi hanya 15G?"</t>
  </si>
  <si>
    <t>Retno Wahyu Ningrum</t>
  </si>
  <si>
    <t>"Hai kenapa saya gabisa nge klaim bonus unlimited saya?? Tiap nge klik tulisan klaim pasti kembali sendiri hpnya ke layar utama, saya coba lagi gitu lagi tulisannya. Mohon dijawab yaa nanti kalo udah bisa ratingnya saya ganti Ã°Å¸â„¢Â Edit : eh udah bisa deh , habis update aplikasi langsung bisa deh Ã¢Å“Â¨"</t>
  </si>
  <si>
    <t>Mouz Zanki</t>
  </si>
  <si>
    <t>"sinyal nggak stabil,kadang tiba tiba hilang sendiri. beli voucher kuota 40 GB diaktifkan dapet notif masuk kuota 40 GB tapi pas dicek di aplikasi cuma 35,yg 5 GB kemana??"</t>
  </si>
  <si>
    <t>Fajar Nurkholis</t>
  </si>
  <si>
    <t>"Tadi saya habis beli paket "Xtra Combo Lite 40gb" lewat aplikasi tapi kenapa yang masuk cuma 35 gb ?? Yang 5gb kemana heyy XL ?? Sebelumnya saya ngisi beli voucher di konter pulsa amanÃ‚Â² aja, beli 40gb yang masuk 40gb Giliran beli di aplikasi malah ke potong ini gimana sih ?? Ã°Å¸Â¤â€ Masa harus pindah provider lagi ?"</t>
  </si>
  <si>
    <t>Andremiky Gantengjokermantapkali</t>
  </si>
  <si>
    <t>"Woi knp ga bisa beli paket mini combo batal tros tolol, tiba2 pas buka aplikasi nya lagi pulsa ke sedot, ah tolol sumpah padahal mau beli yg 11 gb 20 rb. Gagal tros ajg asu ga niat kerja apa gmn seh ah, rugi saya"</t>
  </si>
  <si>
    <t>Omen Rohman</t>
  </si>
  <si>
    <t>"Kenapa jaringan lemot terus,keteter harus bayar tiap bulan ratus_ratus ribu mau berhentinya susah banget harus ke XL Center nya,sangat kecewa banget lebih dari 10 tahun pake XL,pake XL Pasca Bayar sudah 5 bulan tapi giliran akitifin data XL malah lemot terus padahal sudah di ruangan terbuka di atas pula masih tetep lemot"</t>
  </si>
  <si>
    <t>Ary Tomket</t>
  </si>
  <si>
    <t>"Terima Kasih, akhirnya saya sdh bisa menggunakan aplikasi pembelian paket di myXL... tapi kadang masih ada kelambatan membuka pilihan pembelian paketnya.! Semoga XL AXIATA semakin maju."</t>
  </si>
  <si>
    <t>Anisa Fitry</t>
  </si>
  <si>
    <t>"Parah sih beli paket internet 2x, yang satu hilang.. nanya sama agent live chat gak efisien, berjam jam dan gak dapet jawaban yang memuaskan.. Padahal baru mau coba pake XL, tapi langsung dapet kecewa.."</t>
  </si>
  <si>
    <t>Vina Oktaviani</t>
  </si>
  <si>
    <t>"bagaimana ini xl saya beli paket dari aplikasi myxl sudah memotong gopay saya dan berhasil dari laporan gopay nya tapi paket data nya tidak masuk masuk, dan sekarang malah ga bisa masuk k aplikasi myxl nya untuk komplen.."</t>
  </si>
  <si>
    <t>Rusmayadi Mahrim</t>
  </si>
  <si>
    <t>"Wah paraaaaah XL. Sdah pulsa terpotong via gopay tapi kuota gak kunjung datang ditunggu dari pagi sampai sore belum masuk. Bahkan di app gak ada tempat mencari info pemberitahuan sukses. Paraaah....banget. kasihan yg nunggu. Bagaimana ini chat Maya juga jawab gak nyambung. Nunggu cs tapi antrian 191. Paraaaaaaaah"</t>
  </si>
  <si>
    <t>Benny Ka</t>
  </si>
  <si>
    <t>"Sudah beli paket internet dari pagi tadi dan transaksi berhasil. Tapi paket tidak kunjung terdaftar. Padahal sudah tersedot dana nya. Ini gimana sih?"</t>
  </si>
  <si>
    <t>Hilman A</t>
  </si>
  <si>
    <t>"Sistem unlimited nya udah gak kayak dulu, apalagi signal nya sekarang lemot parah. #UDAHGAKKAYAKDULU. 5 hp dikeluargaku pakai XL. Sorry min admin Ã°Å¸â„¢Â ini bentuk loyal konsumen ___ asvv"</t>
  </si>
  <si>
    <t>Joko Purnaning Woko</t>
  </si>
  <si>
    <t>"KECEWA BANGET!!!!! signal 4g, 3 bar sampe 4 bar, paket internet baru beli gak bisa buat apa2, sekedar kirim pesan WA aja susahnya minta ampun... Kalo kayak gini terus mending pindah provider aja"</t>
  </si>
  <si>
    <t>Faisal Alhaddad</t>
  </si>
  <si>
    <t>"Kenapa aplikasi myXL saya tidak bisa dibuka? Setiap saya masuk aplikasi myXL selalu ada tulisan aplikasi tidak menanggapi, anda ingin menutupnya Kenapa selalu begitu padahal saya sangat membutuhkan aplikasi ini untuk saya mengecek paket data dan pulsa, customer service xl tolong solusinya"</t>
  </si>
  <si>
    <t>Fajar Flava</t>
  </si>
  <si>
    <t>"XL sy akui sinyal nya bagus bgt, , tp hanya saja boros nya mnta ampun, 20 gb cm brthan 2 mggu, Beda sm simcard yg ke 2 tsel sya, sm2 20gb tp cukup sebulan,,, pdhal pemakaian sama, tp XL lbih boros,"</t>
  </si>
  <si>
    <t>Zahra Humairo</t>
  </si>
  <si>
    <t>"Makin lama makin nggak jelas xl. Masa iya sinyal tiba2 ilang terus nggak balik lagi. Udah dimode pesawatin , hp udah direstart tapi masih juga nggak ada. Yg bener dikit lah xl. Becandanya kelewatan"</t>
  </si>
  <si>
    <t>Zona Aman</t>
  </si>
  <si>
    <t>"Kenapa kartu saya disabotase kenapa woy, apa karena saya sering memarahi cs atau gmna, padahal tetangga Sawa signal Wifi-nya pakai provider XL, dan selalu penuh, giliran kita yg pakai signal hp mlah sprti ini, tolong lah pihak XL jangan sprti ini trus, sya males lah kalau mau pindah2 provider lain, nanti harus login ulang datanya,"</t>
  </si>
  <si>
    <t>Kopana Didik Harianto</t>
  </si>
  <si>
    <t>"Malam .. pak ini aplikasinya yg berat apa hp saya yg jelek ... mohon diperbaiki aplikasinya .. karna saya buka diaplikasi provider lainnya itu bisa kecuali xl .. kode verifikasi masuknya juga lama .. lebih dri 5 menit .. lalu sms masuk tumpang tindih .. registrasi jadinya error .. #mau daftar paket saja susahnya minta ampun .. mohon jgn info clear cache, memori penuh, instal ulang.. * daftar paketan via sms juga gitu dialihkan ke myxl.. mohon dipermudah yg via sms .. terima kasih.."</t>
  </si>
  <si>
    <t>Rengga Bm</t>
  </si>
  <si>
    <t>"Saya masuk dipusat bantuan untuk menanyakan perihal gagal masuk acount MYXL saya,hanya dijawab pake template,nggak ada solusi yang harus dilakukan.capek2 saja saya menunggu."</t>
  </si>
  <si>
    <t>Ambon Jylo</t>
  </si>
  <si>
    <t>"Ini gimana sih cara aktif.n kuota unlimited youtube.a? Nih kenapa klo mau aktif.n kuota unlimited gk bisa ya, keluar* terus? Tolong diperbaiki lagi pelayanan.a, terima kasih"</t>
  </si>
  <si>
    <t>_Shintyaa 14</t>
  </si>
  <si>
    <t>"Udah jadi favorit nih XL paketnya murah unlimited enak bgt, tapi kecewa skrg sinyalnya jelek bgt. Padahal baru aja isi paketan malah tambah lemot. Tolong dong kalo bisa perbaiki! Udah bingung bgt harus pake kartu apalagiÃ°Å¸Ëœâ€................................................................."</t>
  </si>
  <si>
    <t>Ary Ajus</t>
  </si>
  <si>
    <t>"Sinyalnya tidak sampai ke pedesaan . Di kampung tempat saya tinggal masih sulit sinyalnya apalagi jaringan datanya . Mohon bagi pihak xl , agar bisa memperbaiki kualitas jaringannya"</t>
  </si>
  <si>
    <t>Mathers Ellen</t>
  </si>
  <si>
    <t>"XL sekarang ndak jelas, isi kuota belum masuk masuk, masalah sebelum nya pernah lapor di CS juga belum terselesaikan sampai 1 minggu an, berharap terselesaikan semua problem sy dalam waktu dekat dah"</t>
  </si>
  <si>
    <t>Dedi Setiawan</t>
  </si>
  <si>
    <t>"Terimakasih xl telah menemani kegiatan sehari hari saya selama 3 tahun ini, Tapi kayak nya saya mau ganti kartu aja. Soal nya harga kuota xl mahal mahal. Masa saya sebulan isi ulang kuota xl habis 300 ribu. Dari tgl 1 saya isi ulang 40k dpt 10 gb yg cuman dapet kuota UTAMA 7,5gb sisa nya kuota MALAM. Ya kali gw begadang tengah malam jam 1 sampe jam 6 subuh cuman buat gunain kuota malam. padahal dulu taun 2019/2018 xl gak begini dulu harga 40k dpt 8GB kuota utama tanpa di bagi kuota malam."</t>
  </si>
  <si>
    <t>Indra Hadi</t>
  </si>
  <si>
    <t>"Ini aplikasi yg gk jelas x. Gk bisa2 dibuka utk cek paket &amp; kuota. Aplikasi amatiran, padahal perusahaannya udah lama, mana sinyalnya lemot lg. Gk mau kasih bintang lg"</t>
  </si>
  <si>
    <t>Player Noob</t>
  </si>
  <si>
    <t>"Saya sangat kecewa dengan layanan internet xl, sayang pengguna xl sudah hampir 3 tahun walaupun kartunya ganti2, dan setiap akhir tahun selalu jaringannya tidak pernah bagus, ini tahun ke 3 saya make xl, bahkan saya tinggal berdekatan dengan towernya. MOHON TAHUN DEPAN DI BAGUSIN LAYANAN INTERNETNYA"</t>
  </si>
  <si>
    <t>Ade Ridwan</t>
  </si>
  <si>
    <t>"Sekarang masa aktif nya sebentar, tibaÃ‚Â² sudah ada pemberitahuan kalau kartunya sudah masa tenggang, dan signal suka tidak stabil, apabila buat game suka ngeleg, sinyal penuh tapi tetap internet nya suka macet"</t>
  </si>
  <si>
    <t>Pak Pely</t>
  </si>
  <si>
    <t>"Apk ya bagus !!!!!!!!!! gua baru tau di apk ini bisa to up game ff !!!! murah di codasop to up diamon pakai pulsa 140dm 25k di apk ini cuma 19k semoga apdate nati kita bisa beli mebersip mingguan /bulanan top lah jadi kepingin beli pulsa sering sering buat to up dm murahhhhhh :) jagan beli kartu sem**fren ajg lemod to up jga mahal salam dari peleyer ff :)gua saranin mode to up di tengah apk di apdate nanti :) saran: bisa beli kode goole play :)"</t>
  </si>
  <si>
    <t>28_Sefira Intan Oktavioni 8H</t>
  </si>
  <si>
    <t>"Kenapa saya mau buka aplikasi my xl selalu gak bisa katanya aplikasi tidak menanggapi selalu aja begitu kalau mau buka my xl tolong diperbaiki dong !!!!!!! Dan tolong dijawab juga!!!!!!!"</t>
  </si>
  <si>
    <t>E12Kp Eko</t>
  </si>
  <si>
    <t>"Tolong diperbaiki apknya. Susah kebuka dan selalu keluar sendiri apknya. Sudah dilakuakan restrat dan hapus apk kemudian di download lagi. Tetap saja masih sama seperti awal. XL perusahaan Proveder besar, masa apk sendiri seperti apk odong2. Payaaaaah."</t>
  </si>
  <si>
    <t>Yuli Yuli</t>
  </si>
  <si>
    <t>"tidak terlalu baguss apk sering error,minta update terus2an dan pulsa sy suka habis sendiri gak jelas padahal sy gak pake pulsa hari ini isi pulsa 5 ribu tiba2 aja besok atau lusa pulsa nya berkurang dan tersisa 2 ribu padahal gak buat di pake apa2 kesel"</t>
  </si>
  <si>
    <t>Fidyastya</t>
  </si>
  <si>
    <t>"Kecewa sama XL, beli paketan lewat myXL udah dibayar btapi kuota tidak ada masuk, udah ditunggu beberapa jam juga tidak masuk. Akhirnya beli ulang lagi. Kecewa sih jadinya rugi karena kuota tidak masuk padahal udah dibayar"</t>
  </si>
  <si>
    <t>Muhammad Wahyudin</t>
  </si>
  <si>
    <t>"Sangat pantas saya berikan bintang 1, karena tidak ada perbaikan jaringan diDuri Kosambi Jakarta Barat, coba dicek ada gedung apa yg menghalangi tower jaringan XL, sebelum gedung-gedung itu berdiri sangat bagus sinyalnya. Percuma chat bot maya tidak ada solusi, customer care terkendala terputus berulang kali, tidak perlu balas ke email saya, perbaiki saja jaringannya."</t>
  </si>
  <si>
    <t>Bang Pul</t>
  </si>
  <si>
    <t>"Mau tanya tolong bisa dijawab,knp sekarang setiap beli pulsa masa aktif kartu tidak otomatis diperpanjang??? Dan harus beli masa aktif Ditunggu jawabannya"</t>
  </si>
  <si>
    <t>Sukri Vespa</t>
  </si>
  <si>
    <t>"Udah lama gak make xl. Pindah ke lain karna jaringannya yg gak bagus. Balik ke xl karna ada kuata kuhusus game. Eh ternyata malah tambah jelek jaringanya. Tinggal di kota aja begini jaringannya gimna kalo di pelosok desa ya... Ini Marketing yg sangat bagus. Supaya banyak pengguna xl. Tapi tetap di hujat sama orang lain. Jualan lah dengan jujur supaya konsumenmu tidak kecewa. #udahgituaja"</t>
  </si>
  <si>
    <t>Priyanto Yanto</t>
  </si>
  <si>
    <t>"kpd. Developer terhormat di tempat Hallo saya pengguna baru aplikasi ini, sedikit saran dari saya. Tolong segera diperbaiki masih banyak kekurangan. Pas masuk app lelet banget,terus suka keluar sendiri. Saya pikir ini bukan masalah jaringan atau masalah pada hp nya tapi masalah pada aplikasinya. sekian dan terima kasih."</t>
  </si>
  <si>
    <t>Adetaesa Diyan Degananda</t>
  </si>
  <si>
    <t>"Saya nyoba xl ternyata mengecewakan. Bayangkan setiap 10-15mnit dapat sms pulsa anda habis intinya dsuru ngisi dah,sedangkan tidak butuh pulsa biasa. Itu jatuhnya SPAM. Mengganggu sangat. Andai ada rating minus"</t>
  </si>
  <si>
    <t>Rome Sbastian</t>
  </si>
  <si>
    <t>"Baru download apk myXL, ada keterangan gagal memuat data. Dan saya coba klik xl store tidak ada gambar/maupun tulisan. Padahal ram8gb dan internal 256gb. Saya kecewa. Auto tidak jadi pakai kartu xl"</t>
  </si>
  <si>
    <t>Ganar Dito</t>
  </si>
  <si>
    <t>"Kecewa dengan aplikasi My XL,loadingnya lambat banget dan suka crash aplikasinya tidak lancar.Mohon pihak XL segera memperbaiki sistem aplikasi My XL agar pelanggan bisa menggunakannya dengan nyaman dan tidak terhambat.Terimakasih"</t>
  </si>
  <si>
    <t>Papa Dinda</t>
  </si>
  <si>
    <t>"XL NETWORK PAYAH !! PAKET DATA SAYA BELI BOS!! NGGA NGUTANG, NGGA KREDIT, NGGA MINTA!! TAPI KUALITAS JARINGAN NYA SEOLAH SAYA NGEMIS SINYAL!! SEMUA PENCAPAIAN DI GAME RUSAK CUMA KARENA SINYAL JELEK!!! SEMUA TAHAP DAN PROSES PEMAKSIMALAN GADGET SUDAH DILAKUKAN , TETAP SAJA JARINGAN MACAM NGEMIS !!! KALAU SUDAH NGGA SANGGUP LAYANI PELANGGAN, MERGER ATAU TUTUP AJA BOS. NGECEWAIN TERUS BISANYA. ANDAI ADA RATING BINTANG 1/4 SAYA KASIH 1/4 BINTANG!! MAAF DAN TERIMA KASIH!"</t>
  </si>
  <si>
    <t>Al Jauziy</t>
  </si>
  <si>
    <t>"Mantap sih lumayan.... Cuman klo buat main game di area sini sinyalnya suka ngprank.... Pas di beranda warna ijo.... Cuman pas udah mulai main gamenya tiba2 turun drastis... Saya mohon buat makin perbaikin lagi deh.... Ping nya.... Terimakasih....."</t>
  </si>
  <si>
    <t>Agus Pande</t>
  </si>
  <si>
    <t>"gua milih kartu xl karena murah meski kualitasnya sangat rendah,, memkry gua kosong, chase udah di hapus, kenapa selalu kalo mau beli paketan gak bisa tiba tiba ke potong pulsanya? suka gak bisa di buka alasan sedang perbaikan masa setiap hari perbaikan?? hahh mau ngomong apa lagi lu?? memory internal?? chase?? dari dulu kek gini gak guna"</t>
  </si>
  <si>
    <t>Ady Tm</t>
  </si>
  <si>
    <t>"Aplikasi nya terlalu berat sehingga sulit dibuka, dan sangat sering error, apakah tidak bisa dibuat lebih sederhana aplikasinya agar lebih mudah di akses. TOLONG PERHATIAN NYA BUAT ADMIN. SUDAH BEBERAPA TAHUN SAYA MENGGUNAKAN APLIKASI INI DENGAN BERBAGAI TYPE SMARTPHONE TETAP SAJA SAMA, BERAT SAAT DIBUKA DAN SERING ERROR, TOLONG DI PERBAIKI JANGAN CUMA UPGRADE TANPA MEMPERBAIKI."</t>
  </si>
  <si>
    <t>Abdul Rahmat</t>
  </si>
  <si>
    <t>"App myXl error atau lagi rusak kah, akubudh coba chat service malah dijawab abak abal, kan bingung, katanya ada pemberitahuan kakau dha berhasil login, udh ad, kuikutin saran di internet juga bekum bisa, ini app myXl knp??"</t>
  </si>
  <si>
    <t>Wanda Apriliana</t>
  </si>
  <si>
    <t>"Sinyal bagus kuota banyak tapi setiap mau buka my XL tulisanya coba lagi dan katanya ga ada koneksi internet. Makin kesini XL makin ga jelas banget. Tolong pihak developer diperbaiki lagi apknya"</t>
  </si>
  <si>
    <t>Andi Liana</t>
  </si>
  <si>
    <t>"Tog diperbaiki lg , pas masuk aplikasinya msh suka lemot padahal jaringan lumer ,, sering bgt terjadi kesalahan/erorr koneksi , saya sudah jadi langganan XL dari tahun 2009 pertama saya punya handphone , , suksea selalu"</t>
  </si>
  <si>
    <t>Muhammad Taufik</t>
  </si>
  <si>
    <t>"Sudah 1bulan lebih aplikasi error mulu. Tiap mau isi kouta tetep "terjadi kesalahan" Mau bayar pakai apapun tetep sama. Mohon dperbaiki. Aplikasi dperbuat untuk mempermudah pelanggan."</t>
  </si>
  <si>
    <t>Mhmmd Zal</t>
  </si>
  <si>
    <t>"Koneksi jaringan gagal, sedang menunggu proses perbaikan tapi udah 6 bulan belum di perbaiki,, apakah pelayanan XL memang begini? Udah ngadu di call center tapi di suruh restar handpone, padahal sudah semuanya, cuman belum ku banting"</t>
  </si>
  <si>
    <t>Muh Fathin</t>
  </si>
  <si>
    <t>"Ada apa dengan XL ko lag mulu udh 4 hari lag XL udh gak kayak dulu bagus sekarang lag mulu padahal kuota gue masih ada 5 gb mohon kpd pihak XL tolong perbaiki lagi jaringan nya kalau udh bagus aku kasih bintang 5 sekian terimakasih"</t>
  </si>
  <si>
    <t>Rilex Band</t>
  </si>
  <si>
    <t>"Sy pelanggan XL ..tp tidak tahu jumlah point yg sy miliki ..sy pikir saat pembelian paket secara otomatis point masuk ..kakau mesti klik sana sini gk praktis jd nya ..XL Ku ini .."</t>
  </si>
  <si>
    <t>Mhassanal Bolkiah</t>
  </si>
  <si>
    <t>"Kenapa XL tidak mengadakan call center kaya dlu, knpa sekarang jika ada problem harus pakai live chat, sedangkan live chat kurang tepat untuk mengatakan permasalahan.. Ditambah amat sangat lama menjawab chat customer nya,"</t>
  </si>
  <si>
    <t>Akbar Ardi</t>
  </si>
  <si>
    <t>"Sejauh ini aplikasinya bagus.Tolong untuk performa dari aplikasi ini harus ditingkatkan lagi dan tambahkan fitur hapus notifikasi karena dapat menurunkan performa aplikasi ini. Sekian Terima kasih"</t>
  </si>
  <si>
    <t>Anna Cece</t>
  </si>
  <si>
    <t>"Jaringan buruk. Aplikasi gabisa di buka! Berulang kali begitu terus! Sudah hapus cache/data, unin sampe instal ulng&amp; restart hp tetep kgk bisa dibuka! Nyesel gue isi pulsa, tapi gabisa dipaketin! Udh gitu mahal paketannya jika beli non via aplikasi! Auto uninstal! Selamat tinggal"</t>
  </si>
  <si>
    <t>Ummi Galang</t>
  </si>
  <si>
    <t>"Udah agak bagus, cuma disayangkan tower XL di kepulauan nias sangat sangat terbatas. Hanya beberapa titik. Seandainya bisa ada di tiap kecamatan seperti provider sebelah, yakin mereka akan pindah ke XL. bisa dihitung dg jari XL di kepulauan nias"</t>
  </si>
  <si>
    <t>Haidar Raabih</t>
  </si>
  <si>
    <t>"Kenapa ya pulsa saya kesedot terus, untuk pemakaian internet, padahal paketan internet saya pakai provider lain... Saya punya kartu XL sudah sejak tahun 2003, sehingga para teman dan juga klien saya ngerti ya nomer XL tsb, paling2 ya dipakai tlp2 saja dan gak di pakai internetan, xl axiata, kembalikan pulsa saya"</t>
  </si>
  <si>
    <t>Ann</t>
  </si>
  <si>
    <t>"Pelayanan virtual chatnya minus, lelet, tidak membantu sama sekali. Kayanya semua call centre nya dikasih nama samaran MAYA. Gimana mau kasih bintang 5 kalau pelayanannya buruk begini. Buat apa jd nasabah xl prioritas kalau pelayanan nya ga layak disebut dgn prioritas."</t>
  </si>
  <si>
    <t>Agung Syaifudin</t>
  </si>
  <si>
    <t>"Gampang eror...dr td beli pulsa tidak masuk"..padahal LG urgent banget,pusat bantuan nya juga tidak berfungsi.. untuk apa ada pusat bantuan klo TDK bisa mengatasi masalah"</t>
  </si>
  <si>
    <t>Muhammad Rizqi Aprilia</t>
  </si>
  <si>
    <t>"Jelek bet jaringan nya bikin toxic terus kalau lagi nge game sangat ampas bet sumpah dah ga pernah di benerin apa kali yak padahal juga bbyak yg komplen hadehh JARINGAN NYA 0/10 ALIAS AMPAS, dan satu lagi aplikasi XL nya juga suka nge bug ga jelas kadang ga bisa di buka dan juga ga ada opsi buat beli paket yang biasa sya beli"</t>
  </si>
  <si>
    <t>Aldan Sunarya</t>
  </si>
  <si>
    <t>"Mohon maaf pak/bu, to the point, kenapa kinerja xl kian hari kian menurun? Semoga xl bisa mengembalikan kenyamanan para pengguna xl seperti dulu lagi."</t>
  </si>
  <si>
    <t>Arif Munandar</t>
  </si>
  <si>
    <t>"Sinyal kurang stabil.. Mohon di perbaiki jangkauan wilayah sinyal... Agar lebih baik.. Dan bisa di nikmati berbagai wilayah. Dan perluas jaringan agar banyak lagi pengguna xl. Ã°Å¸â„¢Â"</t>
  </si>
  <si>
    <t>Pak Dee</t>
  </si>
  <si>
    <t>"Saya ke sini mau komplain, kenapa saya perpanjang paketan, jadi Lemot/kecepatan per mb di batasi, tidak bisa buat main Game/Nonton YouTube, muter muter terus"</t>
  </si>
  <si>
    <t>Arif Jack</t>
  </si>
  <si>
    <t>"maaf saya mau tanya, my xl saya kenapa iyaa saya mau paketin data di my xl tapi gak bisa" iyaa ?? padahal saya sudah restart dan bersihkan aplikasi dan dwonload ulang my xl tapi tetap tidak bisa buat paketiin data di my xl... tolong di bantu"</t>
  </si>
  <si>
    <t>Cik Aan Mad</t>
  </si>
  <si>
    <t>"lucu xl ini jaringan nya, 4G+ signal penuh, kuota ku ada 10GB, tapi sudah sebulan ini, di handphone tidak ada koneksi, ganti ke indosat, okey banget lancar, artinya handphone ku nggak ada masalah, yg bermasalah jaringan XL, bisnis rugi garaÃ‚Â² pakai jaringan XL"</t>
  </si>
  <si>
    <t>Joe Ank</t>
  </si>
  <si>
    <t>"Sudah 3 bulan ini ga bisa buka apk myxl. Sudah sering buat ulasan balasannya cuma hub maya, clear cache. Itu2 trs sangat ga membantu mau Dicoba 100x pun tetap ga bisa. Ã°Å¸ËœË†Ã°Å¸ËœË†Ã°Å¸ËœË†"</t>
  </si>
  <si>
    <t>Edy Rosiandi</t>
  </si>
  <si>
    <t>"Mengapa bonus selalu melalui myxl app kenapa gak langsung otomatis gue udah lama pakai XL sampai berapa kali ganti no selalu pakai XL ...tapi sekarang gue jadi kecewa ....jadi untuk internet gu stop pakai XL ...sinyal selalu lemot .... tower dimana mana di kuasai XL ....percuma banyak tower tapi sinyalnya minus ...bahkan di tengah kota besar pun sinyalnya minta ampun lemotnya apa lagi di daerah pelosok ...."</t>
  </si>
  <si>
    <t>Nafitz Chanel</t>
  </si>
  <si>
    <t>"Haduh pusing deh di bikin jaringan xl , Tiba tiba setiap siang hari mati muluuu ,. Kalo mati nya sebentar mah gak apa apa ini malah mau setengah hari kaga nyala nyala , Pokok ny ga puasss , Belik paket mahal mahal"</t>
  </si>
  <si>
    <t>Dewa Pindi</t>
  </si>
  <si>
    <t>"MyXL tolong minta perhatiannya sudah dari bulan Juli sampai desember poin saya tidak ad penambahan. Masalahnya saya tetep beli paketnya di myXL.... Untuk masalah ini tolong kejelasannya."</t>
  </si>
  <si>
    <t>Dezie Widiantoro</t>
  </si>
  <si>
    <t>"Pada aplikasi ditambahkan menu layanan untuk xlhome, baik pengaduan, pemeliharaan, dan ulasan. Sehingga jika kita ingin melakukan pengaduan atau layanan apapun bisa melalui 1 aplikasi (myXL) tanpa harus melakukan panggilan telefon."</t>
  </si>
  <si>
    <t>Faruq Donahue</t>
  </si>
  <si>
    <t>"Pengen perpanjang paket data yg harga 69000, sy isi pulsa, dan dipaksa sy ada 74000, masa tau2 besok nya lenyap tinggal 24.000 yg 50.000 kemana??? Padahal ngak ada riwayat transaksi sama sekali di aplikasi xl nya. Tolong lah balikin pulsa sya"</t>
  </si>
  <si>
    <t>Aris Fadillah Yuliawan</t>
  </si>
  <si>
    <t>"Saya diberi Kartu Satu XL sbg pelanggan setia xl home 25.000 dapat 15 Gb sebulan. saya sdh menggunakan XL home selama 3 thn. habis ga habis kuota 15 GB akan hangus bulan depan kuotanya.. bulan pertama sisa kuota 11 GB hangus jadi awal bulan kembali 15 GB. bulan kedua sisa 600 MB &amp; parahnya di tgl 1 Des kuota dulu ga hangus dan tdk ditambah .. saya menghubungi Gangguan 820 dan di trima dgn nomer pengaduan C26373.. dijanjikan paling cepat 1 x 24 paling lama 3x24 jam sampai 5x24 ga ditambah parah"</t>
  </si>
  <si>
    <t>Dedi Elwanto</t>
  </si>
  <si>
    <t>"Tolong setelah update kok makin error saja, terutama saat maen game online sinyal nya error,ping ny pun merah , tlng di perbaiki jaringan nya,jika tidak para pelanggan akan pindah ke operator lain..."</t>
  </si>
  <si>
    <t>Moelyadi</t>
  </si>
  <si>
    <t>"Aplikasi myXL sangat membantu dalam informasi sisa pulsa serta info kuota paket yg tersisa dan fasilitas lainnya,semoga kedepannya aplikasi myXL banyak program2 Discount,Bonus serta Promo2 yg memberikan kemudah2 dalam pelayanan untuk penguna layanan XL,ini sangat penting dan perlu diingat bahwa XL dapat berkembang dan maju hingga kini karena pelanggan setia penguna XL, jadi utamakan pelanggan dan berikan pelayanan prioritas ke pelanggan jangan melihat Kasta atau Status Sosial Nya.Salam Mulyadi"</t>
  </si>
  <si>
    <t>Gilang Yusuf Gumelar</t>
  </si>
  <si>
    <t>"Aplikasi ini sangat mambantu saya dengan baikk, namun ada satu hal yang menurut saya kurang yaitu pembayaran via Bank hanya bisa satu bank, jadi tolong tambah lagi pembayaran via banknya ya jangan cuma ke satu bank saja devploper terimkasih"</t>
  </si>
  <si>
    <t>Septiana Mona</t>
  </si>
  <si>
    <t>"Sudah lama pakai myXL, tapi beberapa hari ini waktu dipakai aplikasinya gak merespon. Setelah diperbarui juga gak ada perubahan, setiap mau transaksi pembelian kuota pasti aplikasinya gak merespon trus langsung keluar sendiri. Sudah di coba beberapa kali juga masih sama. Mohon diperbaiki."</t>
  </si>
  <si>
    <t>Nounna Tv</t>
  </si>
  <si>
    <t>"Selalu ada tulisan maaf my xl tidak menanggapi, akhirnya terpaksa saya keluar, dan itu bagaimana tanggapan dari developer perusahaan xl, kenapa tidak konsisten dengan masalah masalah seperti ini, sekecil apapun masalahnya, bisa berdampak buruk bagi pengguna, ingat itu. Dan satu lagi, saya punya bonus scan tapi tidak bisa di pake, udah 2x beli voucer, semua bonus scan tidak bisa di aktifkan,"</t>
  </si>
  <si>
    <t>Salsabila Zahratul</t>
  </si>
  <si>
    <t>"halo, ini kenapa gabisa dibuka app xl nya?? udah minta bantuan tanggepan nya lelet bgt, nunggu kepotong trus pulsa nya, ada apasi sma xl? bales ulasan make link bukan nya bales sesuai kritikan, gimna si ini hadeuh cape bgt, update aja trus tapi gaada feedback ke pengguna!"</t>
  </si>
  <si>
    <t>Silvia Eva</t>
  </si>
  <si>
    <t>"Payahhhhh bangeeetttttt Setiap mau beli paket tulisanya terjadi kesalahan terus, mana beli paketnya harus lewat aplikasi lagi, mending klo app nya normal ini app nya bobrok bgt!!!!!!!"</t>
  </si>
  <si>
    <t>Blegedes Team</t>
  </si>
  <si>
    <t>"Ini sih bukan perbaikan.. Malah semakin BURUK.... BANYAK YG GA KEBUKANYA. apakah sudah Diuji terlebih dulu sblm di sebarkan? Dan anehnya jaringan internet sekarang2 hampir sama dengan provider simerah sinyal full tp internet off, apakah jaringan pesaing berat XL ini 1 tower, saling numpang pemancar gitu..? Penyakitnya bisa sama gini.. Saya aktifin kuota XL dan Simerah, dua2nya penyakitnya sama, saingan harus menyamai yaaahh Ã°Å¸Â¤â€Ã°Å¸Â¤â€"</t>
  </si>
  <si>
    <t>Argaming</t>
  </si>
  <si>
    <t>"makin lama kq makin gak jelas gini seh jaringan nya? buat masuk aplikasi My XL aja gak bisa! tolong lah diperkuat lagi jaringan nya meskipun hujan badai ttp stay gitu. saya pengguna lama loh dikartu XL ini."</t>
  </si>
  <si>
    <t>Daffario Raissadewa</t>
  </si>
  <si>
    <t>"Aplikasi apa ini setelah update/sebelum update masa saya gak bisa cek kouta padahal masih banyak pulsanya.Dan juga di aplikasi ada tulisan "GAGAL MEMUAT DATA COBA LAGI" Kenapa ini tolong di jawabÃ°Å¸ËœÂ¡"</t>
  </si>
  <si>
    <t>Anis Sitiaisyah</t>
  </si>
  <si>
    <t>"Seharusnya saya baca dulu ulasan yang lain. Saya dapat bonus xtra kuota yg harus diklaim dari aplikasi myXL ini. Saya mau klaim 30 menit setelah isi pulsa. Tapi yg terjadi hanyalah HARAPAN PALSU. BONUS TIDAK BISA DI KLAIM SELALU MUNCUL NOTIF KESALAHAN SAAT MAU KONFIRMASI. Saya pikir dgn laporan kinerja baik XL awal tahun menjadikannya lbh baik tapi kenyataannya malah membuat PERUSAHAAN INI SEMAKIN TULI KRITIK !!"</t>
  </si>
  <si>
    <t>Harris Maryanto Andriansyah</t>
  </si>
  <si>
    <t>"sistim bokbrok sekali , sebelum di update bagus'' ajah bisa masuk apk , kenapa setelah versi teranyar malah gak ada kuotaÃ°Å¸Ëœâ€š jelas'' kuota banyak ttep ngotot maaf kuota anda habis ,gila memang AUTO HAPUSSS GAK GUNAA BGSD!!!!!!!"</t>
  </si>
  <si>
    <t>Robert Budianto</t>
  </si>
  <si>
    <t>"XL sudah bagus jaringannya dan bisa dipakai di seluruh pelosok daerah , center call nya ramah dan dijawab dengan jelas dan mudah dimengerti , Security buka account nya sangat teliti ,dan produk XL terus update dan masih menunggu 5G ."</t>
  </si>
  <si>
    <t>Sad Boy</t>
  </si>
  <si>
    <t>"Kenapa ngambil bonus kuota harus lewat apk my XL, Bayangin lu isi pulsa trus dapet bonus,ngambil nya di my XL otomatis kan lu aktifin data, dan lu tau kan apa yg terjadi,,,,,,,, yap,, pulsa anda terpotong,,, gak jadi beli kuota, ,,,, kan sesat sekali"</t>
  </si>
  <si>
    <t>Danang Yoga</t>
  </si>
  <si>
    <t>"Meski sinyal bagus tetapi pemotongan pulsa yang terus berjalan meski tidak menggunakan layanan internet menjadi satu hal yang sangat merugikan customer XL. Belum tau kedepannya apakah masih menggunakan operator XL apa tidak. karena operator lain tidak akan memotong pulsa ketika saya menggunakan XL untuk berinternet."</t>
  </si>
  <si>
    <t>Zulfan Achmad Rifani</t>
  </si>
  <si>
    <t>"Buat main game lemot gabisa masuk dalam permainan FF aku menggunakan xl unlimited, buruksekali baru kali ini bawa game ff gabisa masuk lobby pake jaringan kentang !!!!!!!!!!"</t>
  </si>
  <si>
    <t>Hadi Mustamin</t>
  </si>
  <si>
    <t>"Allhamdulillah ada perubahan tolong dikembangkan dalam mengolah jaringan...! Segala bentuk ucapan terkadang menyakiti perasaan orang tanpa kita sadari tapi dikala penyesalan itu datang persaan jdi sedu sedan ingin rasanya menghukum diri sendiri dari apa yg kita ucapkan tadi.Maaf beribu maaf dik Maya..."</t>
  </si>
  <si>
    <t>Vicky Sutandi</t>
  </si>
  <si>
    <t>"Ini kenapa sudah 2 Minggu signal xl gk bagus,, susah jadi buat mobile,, Bikin orang jadi susah buat keperluan sehari-hari,, Harus ganti kartu seperti nya XL susah sangat buruk"</t>
  </si>
  <si>
    <t>Leni Nursela</t>
  </si>
  <si>
    <t>"tolong dong kuota malam nya jgn banyakÃ‚Â² lahh, hrusnya ditaruh di 24 jam semua jaringan aja, soalnya buat sekolah dll... sayang kuota malam nya lah masih bnyk bgt tpi g ke pakai, lgian sapa yg mau pakai? mungkin hny sebagian org saja yg pakai, wktu tidur masa suruh bangun tengah mlm ?mohon kebijakannya."</t>
  </si>
  <si>
    <t>Marlaba Torus</t>
  </si>
  <si>
    <t>"Saya pelanggan XL setia, Kasih Bonus yang banyak dongÃ°Å¸ËœÂÃ°Å¸ËœÂ. sayati-ganti nomor karena hilang sama hpnya. kalau bisa, apakah pihak xl bisa melacak keberadaan hp saya?. Terimakasih Ã°Å¸â„¢ÂÃ°Å¸â„¢ÂÃ°Å¸â„¢Â"</t>
  </si>
  <si>
    <t>Reza Gaming 23</t>
  </si>
  <si>
    <t>"Di solo jawa tengah xl sering terjadi gangguan terkadang sinyal gak muncul sama sekali,kuota xl masih banyak pulsa juga ada. Dimohon dari pihak xl segera memperbaiki jaringan dikarena mengganggu aktivitas kerjaan"</t>
  </si>
  <si>
    <t>Yudi Gumbira</t>
  </si>
  <si>
    <t>"Jatuh tempo katanya tgl 22 jun 21, diisi pulsa 25rb tgl 15 jun 21 kenapa jatuh temponya tgl 15 juli 21 ??? Katanya isi pulsa 25rb masa aktif 30 hari?? Tgl yg sama tgl 15 jun 21 pulsa ditambah lagi 25rb kenapa masa aktifnya tetap???? (Tgl 15 juli 21) Tgl 3/12/2021 isi pulsa 100.000 ko masa aktifnya 30 hari? Isi pulsa 30.000 juga 30 hari Isi banyak-banyak RUGII8II"</t>
  </si>
  <si>
    <t>Layli Anggraini</t>
  </si>
  <si>
    <t>"sudah 5 hari ini di jawa timur jaringan xl sangat susah , saya kira problem hp ternyata jaringan , tolong segera dibenah i !!!, kalau seperti ini terus customer bisa pindah ke sebelah saja tidak ada perbaikan !!!!"</t>
  </si>
  <si>
    <t>Magda Rahardjo</t>
  </si>
  <si>
    <t>"Harga paketan murah dan sesuai. Tapi sekarang saya sangat kecewa dengan signalnya ...dulu lancar jaya...tapi makin kesini semakin buruk... parah..bahkan hilang. Tolong dong xl di perbaiki...sebelum kami para pengguna xl berpindah ke provider lain..."</t>
  </si>
  <si>
    <t>Rosalia Pesik</t>
  </si>
  <si>
    <t>"Aneh banget saya bikin paket kemarin yg 7 hari 11 Gb.. trus bsoknya saya tambah paket yg 7 hari juga tapi yg cuma 3 Gb aja. tapi pas buka apk Myxl malah paket saya 7gb kehapus atau paket saya yg 11Gb hilang gitu aja pas tambah paket 3Gb.. Hiissss"</t>
  </si>
  <si>
    <t>Santri Edan</t>
  </si>
  <si>
    <t>"Ini kenapa sih kok jadi susah... Mau lihat sisa data aja gk keluar2.. Tadi aja bisa masih 11gb.. Sekarang muncul tulisan gagal memuat data. Gitu terus.. Pdhal sudah di update"</t>
  </si>
  <si>
    <t>Taufikurrohman</t>
  </si>
  <si>
    <t>"Sebelumnya mohon maaf, saya dari dulu selalu memberikan bintang lima karena saya puas dengan layanannya. Tapi makin kesini kok makin aneh rasanya, bonusnya ga bisa di klaim padahal udah memenuhi syarat, dan sekarang point my xl nya udah ga ada."</t>
  </si>
  <si>
    <t>Sukron Hamdani</t>
  </si>
  <si>
    <t>"Udah lama pake, tapi jaringan jarang banget stabil, apalagi malam, saat main game, terkadang 4G/sinyalnya(darurat) tiba2 hilang, bukan tambah connect malah AFK. Trimakasih"</t>
  </si>
  <si>
    <t>Naa Inn</t>
  </si>
  <si>
    <t>"Beli kuota 30gb yang masuk cuma 13gb. Setelah komplen lama banget prosesnya. Ditunggu berminggu minggu baru masuk yang 6gb, 11gb ga ada sampe skarang. Saya komplen lagi, saya kirim hasil ss dan sudah jelas disitu jumlah kuota yang masuk tidak sesuai malah jawabnya kuotanya sudah sesuai. Baru tau saya ternyata selama ini 13+6=30. Bukanmaen."</t>
  </si>
  <si>
    <t>Asmif Jr</t>
  </si>
  <si>
    <t>"Hay semua pelanggan Xl sekarang xl udah mulai lemah pindah ke kartu as bang abang banyak promo super diskon wow rata"jawa timur sekarang udh pindah di kartu as sinyal ok no lag siap tempur.....Xl promo diskon di gedein sinyal lemah....semenjak bagi 2 dgn exsis sinyal mulai memburuk sinyal Xl sekarang paling buruk"</t>
  </si>
  <si>
    <t>Maz_ Thon</t>
  </si>
  <si>
    <t>"Malah semakin parah jaringan,hilang hilang mulu,..tau tau hilang...ni maksutnya gimana...!!?? ,jaringan/sinyal kacau parah.. Kecewa ngisi pketan yg VIP,.jringan/siyal kacau.. 96% parah"</t>
  </si>
  <si>
    <t>Firmann Tegar</t>
  </si>
  <si>
    <t>"Tiap hari jumping melulu nih sinyal, bikin orang stres aja, mood yg awalnya baik baik aja eh di kasih jumping udh kaya orang stres, macam bot aja sih gerai si gitu gedenya ga bisa memberikan kenyamanan consumer Ã°Å¸â€˜Å½Ã°Å¸â€˜Å½Ã°Å¸â€˜Å½Ã°Å¸â€˜Å½Ã°Å¸â€˜Å½, Jangan mau pake xl akhir akhir ini percuma beli kuota gede gede sinyalnya udh kaya edge!!!!!!"</t>
  </si>
  <si>
    <t>Azahra Salsabila</t>
  </si>
  <si>
    <t>"Saya kan dapat paket unlimited ig, fb, dan viu. Yang saya heran, kenapa ngak bisa dipake yang buat kuota viunya? Udh di restart, udh di hidup matiin juga, tapi ttp ngk bisa. Kalau ngak niat ngasih unlimited, jangan di kasih dong."</t>
  </si>
  <si>
    <t>Fariel Gandi</t>
  </si>
  <si>
    <t>"Saya sudah lama menjadi pengguna XL yang loyal, tapi tidak pernah mendapatkan diskonan yang sangat besar.berbeda dengan para pengguna XL baru,mereka berkali-kali mendapatkan diskonan yg besar Ni maksud XL kont- gimana?!"</t>
  </si>
  <si>
    <t>Martin Winartta</t>
  </si>
  <si>
    <t>"Sangat kecewa sama xl .. Tiap buat game selalu jaringan ilang .. Terus kalo di tempatÃ‚Â² tertentu sinyal merah kuning ... Di sabarÃ‚Â²in malah gini terus terlalu menyepelekan pelangan !!!!!!!!"</t>
  </si>
  <si>
    <t>Anugrah Tenrigangka</t>
  </si>
  <si>
    <t>"Saya sudah kecewa dengan XL sya kira kartu 3 atau telkomsel boros ternyata XL lebih parah nyedot kuota padahal gue cuman main game doang dan wa gk pernah ntn streaming yutub dll tp dlm 1 hari dia makan 4GB aplikasi cuman sedikit ... Dr sini gue udh gk mau lg make XL kartu penyedot aja ... Mohon diperbaiki cara hemat kuotanya ini sdh parah parah parah bahkan temen saya pun ngeluh kek saya"</t>
  </si>
  <si>
    <t>S-1 Xli Ltt P Indra Wijayanto</t>
  </si>
  <si>
    <t>"isi pulsa 100rb dapat sms gratis kuota unlmted 3 hari ,stlah itu saya ok ,(sy tunggu 3 hari baru beli paket biasa) ,ternyata kuota gratis tidak terpakai ,malah pulsa 100rb hangus untuk kuota biasa ,sungguh PROMO jebakan"</t>
  </si>
  <si>
    <t>Meliana Inggrid</t>
  </si>
  <si>
    <t>"Gimana sih makin kesini sinyal tambah buruk banget, buat telponan wa putus", apalagi buat vidcall susah jaringan buruk . Buat buka aplikasi jg lemot,.xl g spt dulu ,ayolah diperbaiki"</t>
  </si>
  <si>
    <t>Free Spirit</t>
  </si>
  <si>
    <t>"Sudah uninstal dan instal 5 kali.. namun tetep tidak bisa dibuka.. sudah cek semua aplikasi terinstal juga.. dari aplikasi bawaan samsung.. sampai aplikasi non bawaan.. kecuali my xl.. semua normal."</t>
  </si>
  <si>
    <t>Mas Bana</t>
  </si>
  <si>
    <t>"Jaringan nya parah banget. Makin lama makin Lemot aja. buat game aja GK bsa ngelag trus. Nyerap kuota internet nya boros bnget tpi jaringan nya lemot GK sesuai. Jaringan lemot bukannya bikin kuota lebih hemat mlah bikin boros."</t>
  </si>
  <si>
    <t>Aulia Nur</t>
  </si>
  <si>
    <t>"Sinyalnya sekarang super lemot. Padahal dulu super ngebut,kecewa sih. Btw bsk ganti provider,udh ga kuat sama lemotnya xl. Kirain bakal ada perbaikan,taunya makin jelek jaringannya."</t>
  </si>
  <si>
    <t>Anisa Nurul Duha</t>
  </si>
  <si>
    <t>"Saran dong, sewaktu ga ada paket supaya bisa buka my xl, jadi mudah untuk mengaktifkan paket. Karna untuk buka my xl aja butuh paket. Kalau axis untuk buka my axis ga pake paket bisa kok, kenapa xl ga bisa, ditingkat kan lagi ya"</t>
  </si>
  <si>
    <t>Sandi Saputra</t>
  </si>
  <si>
    <t>"Apk nya !!!!!!!!!!!!!!!!!!!!!!!!!!Ã‚Â¡!!!!!Ã‚Â¡!!!!!!!!!!!!!!!!!!!!!!!!!!!!!!!!!!!!!!!!!!!!!!!!!!!!!!!!!!!!!!!!!!!!!!!!!!!!!! bagus banget"</t>
  </si>
  <si>
    <t>Abriawan Tinus</t>
  </si>
  <si>
    <t>"Jaringan hancur....Nda cocok di pakai main game,,, Sy yakin banyak komentar sm seperti saya,,!!!! Bru hujan rintik2 jaringan sudah lari kiri kanan nda jelas,,,pihak XL masa kalian tidak ada niat untuk jadi lebih baik lagi melihat komentar2 para pemakai XL yg mengeluh,,. Harus nya kalian harus lebih bagus lagi setelah melihat komentar2 yg tdk baik,,"</t>
  </si>
  <si>
    <t>Abhieza Raditya</t>
  </si>
  <si>
    <t>"Sinyal ngelag udah beberapa hari ngelag restart ponsel udah hp kakak,mama,bapak sama gak ada sinyal!!!!!!!!!!!!!! Di Bali penarungan kemarin pas keluar penarungan sinyal nya ada penuh lagi pas balik ke penarungan kosong sinyal nya !!!!!!!!!!! Tolong diperbaiki!!!!!!!!!!!!!!!!!!263+_-#(#!2!!2. Snw"</t>
  </si>
  <si>
    <t>Zgirlss</t>
  </si>
  <si>
    <t>"Jelas jelas saya punya kuota internet tapi kenapa pulsa saya masih kesedot sih? Xl ngeselin banget yaa, tolong ini kenapa pulsa saya kesedot waktu hidupin data padahal saya punya kuota."</t>
  </si>
  <si>
    <t>M Arief</t>
  </si>
  <si>
    <t>"Buset dah....gak di pakai apa apa pulsa berkurang...padahal internet gak aktif...udah kesekian kalinya.....klo gak ada perubahan mendingan pindah aj...."</t>
  </si>
  <si>
    <t>Muhammad Zaki</t>
  </si>
  <si>
    <t>"Kartu perdana yang paling buruk, boros kuota, Pulsa saya sering hilang. Sinyalpun jelek, gara_gara kartu xl anda yang katanya 4G tapi sinyal nya kualitas H+ trus. Saya sering kehilangan momen saat bermain game."</t>
  </si>
  <si>
    <t>Njita Njie</t>
  </si>
  <si>
    <t>"Hi xl, knp setelah saya ambil layanan prioritas sinyal sangat lelet, kecepatan download hanya 72kbps kata nya prioritas, mending saya pakai paket biasa kalau gini."</t>
  </si>
  <si>
    <t>Luqman Wezt Tobat</t>
  </si>
  <si>
    <t>"Udah keburu beli HP harga mahal pas pertama pakai XL kok sinyalnya jelek banget ya, apakah emg XL seperti ini semua atau gmna, padahal posisi saya di tengah jantung ibukota, kalau di tempat plosok apa nggak mlh tmbah parah sinyalnya"</t>
  </si>
  <si>
    <t>Ericson S.P</t>
  </si>
  <si>
    <t>"Kenapa ya setiap saya beli pulsa, besoknya suka berkurang 2000 ribu. Contohnya saya malam beli pulsa 20000, blm dipake sama sekali Eh bsknya, saya cek pulsa di myXl, malah jadi 18000?!!!!???"</t>
  </si>
  <si>
    <t>Mr Abing</t>
  </si>
  <si>
    <t>"Jujur aneh bet xl kuota nya naek mulu tiap bulan ,kalo nomer gw ga tercantum semua account gw udah ganti sumpah .tolong ye buat xl kalo harga di apk xl tuh harus sama kek di konter ,biar kalo gw top up bisa dari rumah. Nyesel sumpah nyesellll"</t>
  </si>
  <si>
    <t>Al Khoerul</t>
  </si>
  <si>
    <t>"Knp sih gw kalo baru masuk my xl keluar sendiri mulu padahal dh hampir unistall download hampir 10x gmn sih???? My Xl gk kaya dulu lagi tolong dong bantu Kalu bisa saya kasi bintang 5"</t>
  </si>
  <si>
    <t>Yusri Mahesa</t>
  </si>
  <si>
    <t>"Tolong pihak XL untuk sinyal mohon di benarkan, setiap saya streaming/main game selalu ngelag,entah itu pagi siang atau pun malam tolong di perbaiki ya Ã°Å¸â„¢Â"</t>
  </si>
  <si>
    <t>Fadil Fadilah</t>
  </si>
  <si>
    <t>"Parah beli paketan xtra xombo mini., Dua kali sehari gada yang masuk., Di live chat di puter puter doang sama cs nya., padahal ada bukti foto pembelian. Bangke xl."</t>
  </si>
  <si>
    <t>Lutfi Akbar Maulana</t>
  </si>
  <si>
    <t>"Kalo musim hujan sering terjadi gangguan,hilang sinyal, nah pas setiap lagi hilang sinyal saya menghubungi myxlCare terus di cek katanya tidak ada masalah, padahal sinyalnya hilang dan di sekitar saya juga semuanya yang menggunakan xl sinyalnya juga hilang semua. Sebenarnya di daerah saya untuk kecepatannya udah bagus bgt, tapi sayang sering bagt terjadinya gangguan, apalagi kalo musim hujan, gangguan pernah sampe 2 hari"</t>
  </si>
  <si>
    <t>Agus Saripudin</t>
  </si>
  <si>
    <t>"kenapa kalau kuota utama habis tidak bisa memakai kuota bonus ML nya ya. walpun ada kuota bonus tpi tidak bisa di pakai sama saja bo'ong min. Tolong lebih di tingkatkan lagi,. terimakasih."</t>
  </si>
  <si>
    <t>Wahyu Eka Setyawati</t>
  </si>
  <si>
    <t>"Sinyal suka ilang tiba". Semakin lemot, buka my XL ya ampun susah bgt. Mw beli kuota susah, banyak kendala. Tolong dong diperbaiki, sudh banyak yg make jgn malah nurunin kualitas."</t>
  </si>
  <si>
    <t>Muslim Nyonk</t>
  </si>
  <si>
    <t>"Jaringan apaan ini main game aja lemotnya bukan main,males sy makenya gak ada gunanya bikin emosi saja. Yg bilang jaringan xl bagus harus periksa di rumah sakit jiwa aja dehhh...sialan tuhh tukang conter nawarin kartu katanya bagus jaringan kuat giliran di pake lemot banget bagaikan kura2 lomba lari ama siput"</t>
  </si>
  <si>
    <t>Andre Wibisono</t>
  </si>
  <si>
    <t>"Saya 2 kali beli kartu paketan xl unlimited. 2x di kecewakan Yg pertama data saya di salah gunakan sama pinjaman online Yg kedua nomornya sudah pernah di pakai org sehingga saya beli kartu baru tapi dapatnya kartu paketan bekas"</t>
  </si>
  <si>
    <t>Nadita Masayu A.M</t>
  </si>
  <si>
    <t>"Ini lagi eror atau gimana? W scan voucher di myxl kaga bisa , muncul "nomor voucher tidak terdaftar " , udah 2 kali kayak gini Padahal dulu ok ok aja , tolong di respon"</t>
  </si>
  <si>
    <t>Irkham</t>
  </si>
  <si>
    <t>"puas kalau paket akrabnya bisa di tambah menjadi 8 anggota dan di adakan paket unlimited 30 hari tanpa batas kecepatan khusus nomer-nomer saya ya dan jaringannya di perbaiki lagi agar nomer-nomer saya dapat membawa kecepatan yang maksimal tanpa batas"</t>
  </si>
  <si>
    <t>Kevin Daved</t>
  </si>
  <si>
    <t>"Xl ga jelas. Isi pulsa 25rb ke potong 10rb , kan gilaaaa.. Kapok pake XL udh berapa kali kaya gtu. Jaringan juga lemot bngt sinyal ilang"an. Rugiii!!"</t>
  </si>
  <si>
    <t>Chun Wt</t>
  </si>
  <si>
    <t>"kenapa akhir akhir ini xl sering lost signal? tlf WA jadi sering menghubungkan ulang, mau main game juga koneksi jadi buruk...mohon untuk perbaikannya demi kenyamanan pelanggan"</t>
  </si>
  <si>
    <t>Melly Elsiana</t>
  </si>
  <si>
    <t>"Gimana sih payah banget. Setelah di update malah gabisa login. Disuruh masukin nomor XLnya setelah dimasukin malah katanya nomor yang anda masukan bukan nomor XL prabayar. Apanya yang salah?? Nomor udah bener, dicoba berkali-kali tetep gabisa. Payah banget! Punya kartu XL 2 dicoba login pake nomor keduanya hasilnya sama. Tolong ya diubah fiturnya, lebih baik yang fitur sebelumnya yg sebelum diupdate, mudah, gampang, ini gajelas banget, tolong diperbaiki!."</t>
  </si>
  <si>
    <t>Antonius Aldo</t>
  </si>
  <si>
    <t>"Mengapa sinyal di rumah saya sangat jelek? Hanya 2 batang saja,tetapi saat saya jalan satu meter saja dari rumah,sinyal kuat?? Tolong di benarkan,ini sangat menggangu seakan deskriminasi padahal saya pengguna setia XL,dari awal selalu pakai XL, sudah 2x ganti kartu tapi masalahnya tetap sama."</t>
  </si>
  <si>
    <t>Sagara Sandyakalla</t>
  </si>
  <si>
    <t>"Bonus kuota tidak pernah bisa diambil. Selalu ada masalah dan notifikasi silahkan coba beberapa saat lagi. Sangat mengganggu. Saya akan berhenti menggunakan XL. Terima kasih"</t>
  </si>
  <si>
    <t>Real De Cynthia</t>
  </si>
  <si>
    <t>"Maaf nurunin bintangnya, pulsa kesedot 50rb padahal kuota masi 3GB. Jaringan busuk banget. Sekalinya dapet WiFi di kantor, langsung ngehubungi Maya tapi kaya ngomong sama bot. Soo saaaad, apa gua ganti aja yaaaak. Make XL kayak tutorial nyusahin diri sendiri. Ã°Å¸ËœÂ­ Ntar klo udah bagus, ku ubah bintangnya"</t>
  </si>
  <si>
    <t>Haris Fadil</t>
  </si>
  <si>
    <t>"Bela2in ngisi paket data demi bonus,, eh malah gak ada kejelasan, mau nanya di live chat susah nyambung, nanya di fb malah di jawab sama robot, yaudah di post di sini aja agar orang lain tau kalau layanan xl itu payah..Ã°Å¸â€˜Å½"</t>
  </si>
  <si>
    <t>Allaric Liko Tamrin</t>
  </si>
  <si>
    <t>"Maaf ni sebelumnya katanya XL prioriras tapi sinyalnya kok buriq ya? Bukan kalau XL PRIOPRITAS sinyalnya bagus? Niat kerja ga sih? Memberi orang sinyal yang buruk orang beli paket mahal" tapi paketnya tidak bisa dipakai untuk ngegame dan tiktokan kalau ga bisa memberi sinyal bagus hapus aja aplikasi ini ga guna ada di playstore, cuman bikin malu playstore adanya bagus ni apk di hapus musnahkan dari playstore ga perlu"</t>
  </si>
  <si>
    <t>Amy Bhudy Prasetya</t>
  </si>
  <si>
    <t>"Habis beli kuota di My XL lewat Shopee pay, dari semalam sedang diproses. Tiba2 hari ini riwayat nya menghilang, kuota tak kunjung menambah.. Pembayaran d Shopee pay berhasil saldo berkurang drastis. Gimana kelanjutannya ????"</t>
  </si>
  <si>
    <t>Pulung Sutrisno</t>
  </si>
  <si>
    <t>"seneng ada diskon pembelian paket...semoga tetep ada diskon ...jadi tidak pindah ke provider lain yang mungkin menawarkan harga paket yang lebih murah dengan jangkauan internet yang jauh lebih baik..Ã°Å¸â€˜ÂÃ°Å¸â€˜ÂÃ°Å¸â„¢Â"</t>
  </si>
  <si>
    <t>Firdaus Margo</t>
  </si>
  <si>
    <t>"Gua pakek ni apk lancar lancar aj, gak ad kendala. Cuman ya gitu, sinyal semakin jelek. Udah itu aj kendala saya, udah lama aku pakek XL. Baru terasa sinyal kurang memuaskan"</t>
  </si>
  <si>
    <t>Bang Ao</t>
  </si>
  <si>
    <t>"GAJELASSSSS!!!!!!!!!! jaringan mantengggg.. buka apk ini tetep aja ga ada jaringan udh uninstall apalah segala macem tetep aja buang2 waktu"</t>
  </si>
  <si>
    <t>Wahyu Gesti Rama</t>
  </si>
  <si>
    <t>"Hi XL. Napa nmr baruku gk bisa login ya? Slalu notif " maaf sedang ada gangguan....." padahal nmrku yg lama bisa login, trus gimana nih jika mau liat pulsa/kuota via apl myxl?? Tetep gk bisa login. Kemarin asus, skrg oppo, waduh....cemana nak cek kuota??"</t>
  </si>
  <si>
    <t>Yulia Purnamasari</t>
  </si>
  <si>
    <t>"dari dulu emg paling recommended pake kartu ini, soalny signal full di lingkungan saya. maklum anak rumahan. walaupun kadang pilihan paketnya mahal juga ttep balik lagi ke kartu ini."</t>
  </si>
  <si>
    <t>Lutfi Arbha Hidayat</t>
  </si>
  <si>
    <t>"Semuanya lancar dan aman, hanya saat hujan tiba, biasanya langsung lemot, kadang memang tidak bisa buka aplikasi untuk cek kuota. Kadang saat pagi sekira jam 5-6 tiba2 sinyal hilang kemudian muncul lagi dengan sinyal H+ beberapa menit kemudian normal lagi ke 4G+. Paket data juga paling irit daripada operator lain"</t>
  </si>
  <si>
    <t>Angga Praditya</t>
  </si>
  <si>
    <t>"Saran dari saya untuk XL seharusnya lebih memperhatikan pengguna XL yang sudah lama seperti saya, diberi bonus atau harga kuota yg murah, lebih dari 10 tahun nomer ini nggak saya ganti"</t>
  </si>
  <si>
    <t>Alia Miranti</t>
  </si>
  <si>
    <t>"duhh, ini kenapa sih? kuota YouTube masih banyak, tapi ga bisa dipakai. buka YouTube cuma bisa buka komentarnya doang, videonya ga bisa cuma muter-muter doang. tolong dong diperbaiki kesalahan kesalahan di aplikasi nya. mengcapeeeÃ°Å¸ËœÂ¤"</t>
  </si>
  <si>
    <t>Asep Dani</t>
  </si>
  <si>
    <t>"Dulu xl dapat dijangkau dgn baik, Jaringannya di daerah2. sekarang internet tak bagus, kadang blank tidak ada bar sinyal satupun muncul di hp. Lebih2 setelah ada penataan jaringan 3G di off kan. Di ganti 4G, itu pun sering gangguan jadi error, Habis batre krn cari sinyal. Sudah kuota mahal, internetan gak bisa pula. Yang bagus hanya jaringan buat dikota2 saja."</t>
  </si>
  <si>
    <t>Ni Kadek Ayu Suandewi</t>
  </si>
  <si>
    <t>"Saya mau bertanya, knpa bonus XTRA Unlimited Turbo Fb dan Instagram tidak dapat diaktifkan? Padahal sebelumnya saya sudah membeli paketnya di aplikasi MyXl. Saya sudah chat di aplikasi myXL nya dari tanggal 25, sampai sekarang bonus pembelian paketnya belum juga bisa sy aktifkan. Sy membeli paketnya pada tanggal 24 November, mohon bantuannya. Padahal aplikasi myXL sy sudah diupdate dan terbaru, sinyalnya juga sudah 4G tapi saat mengaktifkan bonus fb dan instagramnya tidak dapat diaktifkan."</t>
  </si>
  <si>
    <t>Bell Bella</t>
  </si>
  <si>
    <t>"Saya beli paket data Xtra Combo Plus yang 59rb dapet 10GB kuota utama 3GB kuota area sama 2GB bonus kuota aplikasi. setelah beli ada notif suruh klaim bonus tapi setelah dibuka notifnya gak bisa di klaim bonusnya. Berarti sama aja cuma 13GB totalnya bukan 15GB. Padahal sebelum2nya bonus itu bisa diklaim mohon untuk diperbaiki bila perlu kompensasi!"</t>
  </si>
  <si>
    <t>Jericho Rico</t>
  </si>
  <si>
    <t>"Saya pemakai xl prabayar sudah 21 tahun. Tapi kenapa tidak ada penghargaan sebagai pelanggan setia ya? Dulu jaman XL ada sayembara bening yg iklannya anjasmara saya pernah dapat hadiah berupa HP Sony Ericsson skitar 2005.tp sekarang XL makin pelit."</t>
  </si>
  <si>
    <t>Andi Minang</t>
  </si>
  <si>
    <t>"Mohon agar kpd Pihak XL AXIATA TBK, dlm segi paketan internet murah meriah, agar kami konsumen dpt menikmati paket2 termurah di jaringan seluler beda dgn jaringan seluler lainnya, mohon agar saran saya ini di dengar dan di tindak lanjuti, jgn hanya JANJI tp harus ada BUKTINYA"</t>
  </si>
  <si>
    <t>Handy Noviardana</t>
  </si>
  <si>
    <t>"tolong tingkatkan kualitas jaringan di kota2 kecil, masa dari 7x24 jam jaringan yang waras cuma 3 sampe 5 jam, ribuan kali komplen, ribuan kali ditangani dan ribuan kali tidak ada perubahan, UNTUK BEBERAPA DAERAH XL SANGAT TIDAK DIREKOMENDASI UNTUK BERMAIN GAME ONLINE!! PENGALAMAN MAIN GAME PALING BURUK DENGAN XL!! kalo tidak bisa segera lakukan perbaikan lebih baik hentikan bisnis kalian, ini saran serius"</t>
  </si>
  <si>
    <t>Ria Sintya Wati</t>
  </si>
  <si>
    <t>"saya sudah melaporkan melalui xl care 6 agen tidak bisa membantu saya, padahal masalah saya untuk cek pulsa *123# tidak bisa respon nya MAAF LAYANAN TIDAK TERSEDIA. LAKUKAN REGISTRASI.... padahal *123*4444# nomer saya sudah berhasil di registrasi dengn NIK.......... sebelumnya nomer yg saya gunakan itu baru beli dan sudah diregistrasi, mau cek pulsa dan mau aktifasi voucher data dari senin sampai sekarang gak bisa dan tindakannya lama. mohon bantuannya min"</t>
  </si>
  <si>
    <t>Dothat That</t>
  </si>
  <si>
    <t>"Guna nya pulsa siaga apa? Saya gak pernah pake pulsa siaga, trus sering isi pulsa kenapa pas tanggal tua mau di pake,nunggu 2 hari gak ada jawaban dari operator,kartu saya belum masa tenggang, ini hp saya yg rusak apa provider nya memang kayak gini"</t>
  </si>
  <si>
    <t>Mugi Yanto</t>
  </si>
  <si>
    <t>"Mau masuk aja gk bs...tambah ribet,sudah berulang kali di hapus,di instal lg tetep aja gk bs login, semua pilihan jenis layanan kartu sudah di coba semua...tetep aja gagal login"</t>
  </si>
  <si>
    <t>Matex Pro</t>
  </si>
  <si>
    <t>"Saya di Malaysia saya suruh istri saya dari Telkomsel ganti XL bukan tambah bagus e makin parah,sinyal H+ saja nggak full, kecepatan datanya nggak sampai 1 mbps,kalah jauh dengan kartu Malaysia 70 mbps, semua operator Indonesia sinyal bagus hanya di tengah kota,4G Indonesia masih kalah dengan sinyal 3G Malaysia,sudah lemot mahal"</t>
  </si>
  <si>
    <t>Noah Darmawan</t>
  </si>
  <si>
    <t>"Selalu ready dan siap pulsa dan data, tp emank fakta ini kualitas signal xl sdh tdk sebagus dulu, skrg makin parah, jujur saya hrs siap beralih ke yg lain klo gini terus. XL, jgn takut klo dibilang mahal, selama kualitas signal mu bisa selalu bagus"</t>
  </si>
  <si>
    <t>Giri Tani</t>
  </si>
  <si>
    <t>"Maaf kenapa kalau saya buka aplikasinya kembali ke beranda sendiri? Katanya My XL sudah berhenti kenapaaa ini??? Pliss caranya gimanaa? Udah hapus lalu instal lagi tapi tetap ga bisaa"</t>
  </si>
  <si>
    <t>Dendy Heriyanto</t>
  </si>
  <si>
    <t>"Apaan sih ini XL jaringan gak jelas. Yang lain sudah mau 5G eh XL masih lemot gini. Kalau gak niat memperbaiki kualitas jaringan bubar aja lah sekalian!!?"</t>
  </si>
  <si>
    <t>Bang Bahri</t>
  </si>
  <si>
    <t>"Maaf satu bintang aja dulu, eh kenapa kuota d akrab saya cuma 10 giga d bagi 2.sedangkan yg 25gb d pake ama wa doang. G bisa pake yg lain.kalau kya gini mending beli yg 55rb ketauan 10 gb. Mksih"</t>
  </si>
  <si>
    <t>Fahmi Dahlan A</t>
  </si>
  <si>
    <t>"Saya dari tahun 2000an selalu pake ini provider, layanan semakin membaik, saran aja kasih promo atau cashback atau marchendise sebaigai pelanggan lama,, biar selalu dimanjakan oleh XL, lancar terus sukses selalu"</t>
  </si>
  <si>
    <t>Fadlia Fanie Firzana</t>
  </si>
  <si>
    <t>"Ga jelas ngmg ma Maya, mending bicara CS langsung!! Kapok beli paket di*123*# beda kayak dulu, sebelum transaksi ad konfirmasi pelanggan lanjut beli/ga?? Sekarang ga ad!! Lgsg potong pulsa!! Saya ga lg pk paket XL tp ad sms pulsa berkurang krn pk internet!! WHAT??"</t>
  </si>
  <si>
    <t>Vicka Putri</t>
  </si>
  <si>
    <t>"Kenapa paket akrab saya belum aktif-aktif padahal di apk sudah masuk notif Kalau pembayaran sudah di terima . Dan pembayaran juga sudah berhasil. Kenapa paket tidak segera masuk, sudah dari semalam! Tolong xl ya"</t>
  </si>
  <si>
    <t>Wikal Zulfikar</t>
  </si>
  <si>
    <t>"Sekedar informasi Untuk saat ini jaringan dan app berjalan dgn baik, yg kemarin saya mengeluh soal app yg tidak bisa membeli paket internet di app tapi sekarang sudah dgn lancar.Namun jika kondisi di daerah saya sedang hujan, tidak lancar meskipun jalan sih dengan speed lumayan lambat.Mohon sekali dari pelayanan jaringan harap diperhatikan saat hujan. Terima kasih.Note: bagi kalian pernah kejadian tidak bisa membeli paket internet di app my xl, idupin mode pesawat tunggu krng lbh 1 m, trus mati"</t>
  </si>
  <si>
    <t>Alimah Suriatmi</t>
  </si>
  <si>
    <t>"udah update dan restart HP. ternyata aplikasi gabisa dibuka kayanya dari servernya. lihat review lain ternyata banyak problem yang sama. kenapa tidak ada perbaikan secara tanggap? kalau ada problem baiknya diinfokan ke pelanggan baik via SMS atau apalah itu agar transparan, lebih baik lagi kalau ada perbaikan. thumbs down."</t>
  </si>
  <si>
    <t>I'M Away</t>
  </si>
  <si>
    <t>"Jaringannya jelek banget dirumah gua , ga nyaman banget buat main ML dan PUBG , setiap di ingame pasti selalu jaringan merah , tiba tiba jaringan menjadi H/H+ lebih parahnya bisa bisa ilang dalam beberapa detik"</t>
  </si>
  <si>
    <t>3 Hanz</t>
  </si>
  <si>
    <t>"verifikasinya tolong di tambah lagi, jangan cuma lewat sms, kalau bisa ya telpon dari operator, karena nunggu sms lama banget, pernah juga ngalamin sms tidak pernah masuk."</t>
  </si>
  <si>
    <t>Adhitya Rara</t>
  </si>
  <si>
    <t>"tambah parah aplikasi my xl ini .udh lama bnget baru bisa d buka .pas kebuka gk bisa beli paket pke pulsa .bkannya kgunaan utamanya my xl itu kan .mempermudah konsumen brtransaksi pakai pulsa .ini ko segala susah .aplikasi my xl jelek :("</t>
  </si>
  <si>
    <t>Fikri Athallah</t>
  </si>
  <si>
    <t>"Aplikasi ga guna, saya ingin beli paket malah tulisan gaada jaringan , padahal kuota masih banyak dan buka aplikasi apapun bisa. Cuma my XL aja yang gabisa"</t>
  </si>
  <si>
    <t>Mhmmd Hafiz H</t>
  </si>
  <si>
    <t>"tiap kali beli unlimited turbo plus youtube 1 hari 4000 Rp kenapa ga sampe 1 hari ? padahal sudah tertera s&amp;knya 24 jam, pernah jg beli ga sampe 3 jam udah ada notip paketan tidak aktif ga cuma sekali saya mengalami kerugian ,apakah pihak xl membenarkan PENIPUAN ini? mohon diperbaiki lagi agar customer merasa puas"</t>
  </si>
  <si>
    <t>Andini Mutia</t>
  </si>
  <si>
    <t>"Apaan sih saya baru beli pulsa eh udah maen dipotong aja pulsanya,padahal gak buka data udah sering banget kaya gini gimana sih ini!!!!!!"</t>
  </si>
  <si>
    <t>Rahmat Gani Saputra</t>
  </si>
  <si>
    <t>"Operator kenapa jaringan XL di provinsi Lampung kabupaten Lampung tengah kecamatan seputih Surabaya susah banget padahal sinyal nya 4G, tolong di perbaiki secepatnya, di sini yang pengguna XL pada ngeluh, karena jaringan yang kurang mendukung"</t>
  </si>
  <si>
    <t>Javanda Husain</t>
  </si>
  <si>
    <t>"Susah claim bonus transaksi selalu coba lagi.. padahal lumayan..enakan yamg sebelumnya, setelah update jadi gajelas aplikasinya sering kasih info telat sama susah claim bonusnya padahal lumayan."</t>
  </si>
  <si>
    <t>Ragista Nobita</t>
  </si>
  <si>
    <t>"Dulu aku suka aplikasi ini tp akhir akhir ini di wilayah Lampung Selatan mati total sinyal ga ada selalu (X) tolong jangan sampai berlarut larut sperti ini bila ada perbaikan , kami butuh internet kenapa internet hilang bgitu aja Ã°Å¸ËœÂ­Ã°Å¸â„¢Â"</t>
  </si>
  <si>
    <t>Wahyudi</t>
  </si>
  <si>
    <t>"Hallo , sedikit saran dari saya semoga di baca . Untuk kenyamanan kita bersama tolong dong sediakan fitur kunci pulsa , untuk kenyamanan para pengguna semisal ada pulsa lebih tidak terbuang sia2 pada saat paketan kita habis Trimakasi"</t>
  </si>
  <si>
    <t>Adya Pranaja</t>
  </si>
  <si>
    <t>"Tolong perbaiki jaringan,sinyal dan komunikasi....akhir akhir ini saya kesal karena tiap buka aplikasi,game,yt,bahkan my XL saja error mulu.yang ku butuhkan bukan saran (ikuti langkah yg disarankan ) dari my xlnya tapi jaringan masih leg,, yg kubutuhkan kecepatan dalam perbaikan jaringan sehingga semua user XL kembali puas dalam menggunakan my XL ini.maaf saya kasih bintang 3 .pbila sudah bagus semua saya ubah b5..thank"</t>
  </si>
  <si>
    <t>Nr. Mila</t>
  </si>
  <si>
    <t>"Kenapa gak bisa beli paket di my XL sekarang yah ?? Padahal udah beli pulsa juga tapi malah gak bisa Katanya bermasalah lah.. pake kode lah ... Padahal dulu senang bgt pake XL lancar bgt skrg gak tau kenapa jadi lemot bgt.. Emang lagi bermasalah atau gimana sih ???"</t>
  </si>
  <si>
    <t>Nenden Dewianti</t>
  </si>
  <si>
    <t>"semenjak saya update aplikasi ini ke versi terbaru dan setelah saya mengisi survey kok malah sering terjadi kesalahan ya, padahal tadinya selalu lancar. mohon perbaikannya demi kenyamanan bersama"</t>
  </si>
  <si>
    <t>Endang Hidayat</t>
  </si>
  <si>
    <t>"Mau cek sisa kuota tidak bisa, koneksi internet ok, hp juga sudah di matikan, mode air plane juga sudah. Aplikasi minta di update juga sudah langsung update. Setting APN dan reset APN juga sudah. Dan akhir akhir ini juga untuk koneksi internet nya suka lemot. Dan sisa kuota masih tidak mau muncul. Tapi sisa pulsa bisa kelihatan."</t>
  </si>
  <si>
    <t>Robby Annas Nur Hakiki</t>
  </si>
  <si>
    <t>"Ini aplikasi apa ya perasaan signal bagus masa mau beli kuota di aplikasi myXL kesalahan jaringan terus,perasaan signal full tapi sama aja sampai sampai beli kartu baru, beli agar bisa buat beli paket di myXL, tapi sama aja ini aplikasi rusak banget sumpahhh......"</t>
  </si>
  <si>
    <t>Zhepy Ganteng</t>
  </si>
  <si>
    <t>"ini kenapa ya apk nya tadi saya pas mau ngisi paket gak bisa kata nya " Gagal memuat data " tapi kan pake wifi emang lemot?!!!!!!!!!!!!!!!!!!!!!!!?!!!!????!!??!!!!!"</t>
  </si>
  <si>
    <t>Anggito Abimanyu</t>
  </si>
  <si>
    <t>"bulan bulan ini sinyal XL saya sangat jelek, untuk bermain game online pingnya naik turun, tolong pihak XL untuk di perbaiki sinyal XL, termiakaih."</t>
  </si>
  <si>
    <t>Dian Murni</t>
  </si>
  <si>
    <t>"Tolong diperbaiki lagi sinyalnya yaa,,harga kuotanya juga banyak"in diskon kalaupun gak diskon ya jangan mahal" kami yang anak sekolahan mau beli kuota susah euy... Kasih gratisan juga dongss Jan pelit". Sekian terima kuotaÃ°Å¸ËœÂÃ°Å¸â€˜Â"</t>
  </si>
  <si>
    <t>Simoel02 Channel</t>
  </si>
  <si>
    <t>"Aplikasinya sihh bagus sebelum diupdate tapi Kenapa yaa setelah diupdate aplikasinya sering terjadi kesalahan? Semisal mau beli kuota atau lihat kuota yang masih aktif sering terjadi kesalahan/gagal memuat padahal sinyal bagus diganti pake jaringan wifi juga sama aja... Mohon tindak lanjutnya untuk developmen... Terimakasih"</t>
  </si>
  <si>
    <t>Afrizal Fakboy</t>
  </si>
  <si>
    <t>"terima kasih myxl telah memberi saya pendapat..berkat aplikasi myxl ini saya lebih mudah berkomunikasi dengan keluarga saya dan lebih mudah membeli paket dan harga nya pas dan murah-murah..jadi rekomdasi buat pengguna xl download aplikasi ini..dan saya telah bergabung sama aplikasi myxl selama 2Tahun."</t>
  </si>
  <si>
    <t>Shoffan Rahman</t>
  </si>
  <si>
    <t>"Kenapa ya jaringannya jadi lemot banget bulan-bulan belakang ini? Buka aplikasi my xl ini aja lag banget. Butuh bermenit-menit buat cek paketan di myxl padahal kuota masih banyak. Buat meet nge lag, main game nge lag. Mohon maaf banget, mending ganti kartu aja saya. Terimakasih udah jadi kartu andalan, meski itu masa lalu. Bye, xl. Aku baru ganti kartu lain langsung dapet bonus. Sudahlah terimakasih banget xl. Ku harap kedepannya xl bisa lebih baik lagi."</t>
  </si>
  <si>
    <t>Sani Arsi</t>
  </si>
  <si>
    <t>"Jaringan XL makin jelek ya..sinyal naik turun, anak saya jadi sering nangis karena lg nonton YouTube selalu loading.. Saya gx sengaja keluar dari my XL.. mau masuk lagi gx bisa.. Jawabannya belum bisa masuk..kenapa"</t>
  </si>
  <si>
    <t>Tulisan Alam</t>
  </si>
  <si>
    <t>"Sinyal sering H+ atau H komplain di xl care tidak ada solusi setiap complain alasanya ada peningkatan jaringan, hanya di buatkan laporan dan disuruh sabar, admin kabur ketika saya sedang komplain di xl care massanger, saya pemakai kartu xl lama dan saya kecewa."</t>
  </si>
  <si>
    <t>Munadhi</t>
  </si>
  <si>
    <t>"Aplikasi myXL sekarang suka error jika digunakan ngefrem melulu, kayak hp terkena virus lemot banget, dan sudah beberapa kali isi ulang use voucher, bonusan scan voucher tidak dapat digunakan. Ã°Å¸ËœÂ´Ã°Å¸ËœÂ· mohon perbaikan pada pihak XL"</t>
  </si>
  <si>
    <t>Ibe Official</t>
  </si>
  <si>
    <t>"saya tetap pilih XL, biarpun banyak operator lain menawarkan berbagai produk internet, saya tetap memilih produk internet XL, saya Penggunaan XL sejati"</t>
  </si>
  <si>
    <t>Fina Fitri Fauji</t>
  </si>
  <si>
    <t>"Kenapa kuota belajar 35gb dari XL tidak bisa di nonaktifkan, saya setiap hari mencoba tapi selalu terjadi kesalahan, apa gangguan terjadi setiap hari? Saya ingin memberhentikan paket kuota belajar dari XL."</t>
  </si>
  <si>
    <t>"Teruntuk pihak provider XL Axiata, mohon di perbaiki lagi kualitas jaringan nya karna belakangan ini kualitas jaringan nya kurang stabil apalagi saat cuaca buruk / mati lampu, terkadang bisa tiba" hilang sinyal (tidak ada koneksi). untuk fitur" yg ditawarkan sudah cukup bagus seperti adanya aplikasi My XL ini yg memudahkan pengguna dalam membeli kuota / paket data &amp; Harga yg di tawarkan pun juga cukup bersaing sehingga masih terjangkau oleh anak kost"an."</t>
  </si>
  <si>
    <t>Arya Yan</t>
  </si>
  <si>
    <t>"Banyak bohongnya... Di bagian atas menu ada paket murah.. tapi pas di klik ternyata tidak sesuai dengan iklan nya.. Bintang satu masih kebanyakan.. jawaban admin selalu sama.. artinya itu ROBOT yang jawab"</t>
  </si>
  <si>
    <t>Aleevana Allard</t>
  </si>
  <si>
    <t>"Akhir akhir ini jaringannya sangat tidak memuaskan, mohon perbaikan kepada pihak XL. Dan juga tolong berikan fitur untuk bisa memilik paket kuota mana yang ingin digunakan agar tidak merepotkan saya sebagai pengguna, karna saya sulit menggunakan kouta pribadi saya karna selalu digunakan kouta sekolah yang jelas tidak bisa membuka sosmed"</t>
  </si>
  <si>
    <t>Mydan Syakur</t>
  </si>
  <si>
    <t>"Kartu XL SAMPAH,KORUPSI!!!!! Tiap baru beli pulsa beberapa menit kemudian pulsa suka kesedot terus.... Padahal saya gk ngehidupin data (Kartu XL) Tapi pake wifi, pas saya cek pulsanya tiap beberapa menit tertentu, Pulsa makin sini makin berkurang.... Padahal saya gak ngapa-ngapain. Dasar Korupsi!! Jadi males ngisi pulsa di kartu XL"</t>
  </si>
  <si>
    <t>Samsul Sam</t>
  </si>
  <si>
    <t>"Terimakasih XL paket kamu jangan terbaik .pada paket Telkomsel cepat habis .dan banyak makan duit orang orang .dan orang Telkomsel yang tak sangat baik dan tak ramah Sam orang ...... sekian dulu terimakasih .... semangat terus yang XL .. semoga anggota XL tak Kitu jug ... .salam dari batam .. tolong tingkatkan ulti turbo my XL ya kk. .. kk kenp jaringan 4 lite tak bgus jaringan"</t>
  </si>
  <si>
    <t>Herman Sudirman</t>
  </si>
  <si>
    <t>"Aplikasinya?????????aku gak tau sih apk nya bagus atau gak soalnya aku baru donlod wau pas aku lagi ngertik udah selesai aku donlodnya cepet banget tapi aku kasih bintang satu aja dulu ya pas aku liat bagus baru deh aku kasih Ã°Å¸Å’Å¸ Ã°Å¸Å’Å¸"</t>
  </si>
  <si>
    <t>Roman Hakim</t>
  </si>
  <si>
    <t>"Saya ingin melaporkan tentang buruknya sinyal XL sekarang ini dan kuota yang harus dibagi bagi saya harap kepada pihak XL agar mengembalikan sistem kuota seperti biasanya tidak ada kuota malam sama pembatasan jam kuota youtube saya harap kedepannya dapat mengerti para pengguna XL #Respon"</t>
  </si>
  <si>
    <t>Aldian Hidayatulloh</t>
  </si>
  <si>
    <t>"Tolong ini kenapa di beranda My XL tidak bisa menampilkan sisa paket kuota. Tulisannya "Gagal memuat data silahkan coba lagi". Sudah di klik coba lagi tapi tidak ada perubahan, padahal sinyal 4G+ tidak ada kendala dalam memuat halaman."</t>
  </si>
  <si>
    <t>Adjie Septiawan</t>
  </si>
  <si>
    <t>"Saya agak kecewa dengan myXL karena setiap saya ingin masuk selalu ada kesalahan jaringan ketika saya cek untuk browsing atau pun menggunakan sosial media baik-baik saja saya beri 3 bintang terlebih dahulu karena kurang memuaskan pada pelayanan myXL saya sudah menggunakan XL bertahun-tahun tetapi kenapa setiap kali menggunakan myXL selalu bermasalah di kesalahan jaringan jika kedepannya tidak terjadi masalah tersebut saya akan memberikan Bintang 5"</t>
  </si>
  <si>
    <t>Anak Ntb</t>
  </si>
  <si>
    <t>"Kemarin beli voucer yg 40 gb, saya isi lewat aplikasi tapi sampai sekarang belum masuk, saya sudah mode pesawat, sudah restar hp juga, saya coba masukan kembali kode voucher kodenya sudah terpakai"</t>
  </si>
  <si>
    <t>Jow Lodong</t>
  </si>
  <si>
    <t>"Apk my xl eror teros beli paket internet aja gak bisa2. Klo hari ini gak bisa beli paket internet itu akumulasi kuota saya yang 3 gb bakalan hangus, kan sayang 3 gb hangus. Tapi beli di my xl gak bisa2. Mana Beli di *123# gak bisa lagi...haduh2. gimana sih ni xl tolong donk jangan eror mulu"</t>
  </si>
  <si>
    <t>Jack Ajj</t>
  </si>
  <si>
    <t>"Maaf, bintang turun, jaringan susah banget, padahal 4G tapi gak sesuai dgn faktanya. Tolong dong, perbaiki dan tingkatkan lagi jaringannya, buat maketin aja susah banget,,"</t>
  </si>
  <si>
    <t>Ahmad Jaelani</t>
  </si>
  <si>
    <t>"Kenapa belakangan ini semua paket di my Xl tidak bisa dibeli.. halo operator ada apa??? Tanpa mengurangi rasa hormat Saya mohon diinfokan pada user ketika sedang terjadi kendala pada operator MY XL Karena sayang klw pulsa 25rb di cicil operator:)"</t>
  </si>
  <si>
    <t>Zeazara 22</t>
  </si>
  <si>
    <t>"Bintang nya empat aja soalnya kecewa sama XL Knapa sih sekarang XL sinyalnya loading mulu.. Mana setiap mau beli kuota lewat aplikasi ngelag kadang juga g bisa.. Padahal awalnya bagus banget lancar tapi sekarang kualitas sinyal berkurang... Alamat ganti kartu kalau gini terus mah."</t>
  </si>
  <si>
    <t>Sifa Cute</t>
  </si>
  <si>
    <t>"Halo admin.. kenapa ya cek kuota di aplikasi tidak bisa padahal kuota utama saya masih banyak. Kenapa saya tahu kuota masih banyak? Karena saya menggunakan kuota utama.. kejadian waktunya malam ini dan saya juga selalu beli kuota yang sama.. mohon tanggapannya terimakasih..."</t>
  </si>
  <si>
    <t>Mohamad Dzaki Pratama</t>
  </si>
  <si>
    <t>"Ini kenapa sih aplikasi nya gk bisa dibuka? Loading nya lama banget, padahal pengen ngecek kuota saya tinggal berapa ehh malah gk bisa dibuka apk nya, padahal udah di update apk tetep aja gk bisa. Gimana ini solusinya? Mohon dijawabÃ°Å¸â„¢ÂÃ°Å¸ÂÂ»"</t>
  </si>
  <si>
    <t>Sabri Sabi</t>
  </si>
  <si>
    <t>"aplikasi nya sangat bagus ringkas informatif dan mudah di gunakan bukan hanya itu myxl terdapat banyak promo paket internet murah pastinya gk nyesel pake XL selain murah kuotanya juga banyak dan hemat pastinya"</t>
  </si>
  <si>
    <t>Aditama Nugroho</t>
  </si>
  <si>
    <t>"Min saya kan kemaren beli pulsa 50k terus langsung saya buat beli paket turbo yg seharga 50k pulsa nya sudah ketarik terus dapat notifikasi kek ditunggu gitu terus sampe sekarang kuotanya belum dapat sudah 3 hari apa harus nunggu kuota unlimited yg dl habis dl soalnya sisa 2 hari lagi habis tapi kalo sampe masa 2 hari saya masih belum dapat kuota,saya minta ganti min soalnya saya masih pelajar mohon balas min.."</t>
  </si>
  <si>
    <t>Flexi</t>
  </si>
  <si>
    <t>"Saya sangat kecewa akhir akhir ini koneksi jaringan XL ancur parah. nggak seperti biasanya, Mohon segera diperbaiki supaya semua pengguna XL bisa nyaman seperti biasanya. Terimakasih. Note : jangan kasih tau dengan cara restart hp atau mode pesawat percuma hasilnya tetap sama aja!"</t>
  </si>
  <si>
    <t>Yudi Reynold</t>
  </si>
  <si>
    <t>"Minta maaf sebelumnya ini my XL, kouta sy ada sisa 13 GB trus sy isi ulang dgn voucer isi 40 GB dan sy masuk di aplikasi My XL cek kouta sy bkn bertambah malahan berkurang yg seharusnya jadi 51 GB knp jadi 41 GB yg saya cek di aplikasi My XL"</t>
  </si>
  <si>
    <t>Anak Ayah</t>
  </si>
  <si>
    <t>"Apk mu masih terlalu berat untuk beberapa smartphone apa lagi yg keluaran lama, gak semua penggunamu bisa beli hp baru, peringankn apk mu, jgn kek provider sebelah yg makin berat ujung2nya gak suport hapenya, jaringan di stabilkan dan sederhanakn pembagian paketnya, terlalu banyak di bagi2,"</t>
  </si>
  <si>
    <t>Imam Ali Zainal Abidin</t>
  </si>
  <si>
    <t>"Gak tau kenapa saya awalnya mau beli paket Xtra Combo Plus yang 12 GB tapi saat melakukan pembelian anehnya paket 12 GB saya tidak masuk pedahal sudah saya beli, jadi terpaksa saya beli Xtra Combo Mini yang 2,5 GB itu baru bisa masuk paketnya semoga kedepannya MyXL bisa lebih baik dalam melayani penggunanya terimakasih maaf saya kasih bintang dua Ã°Å¸â„¢Â"</t>
  </si>
  <si>
    <t>Eko Purnomo</t>
  </si>
  <si>
    <t>"Maaf ini mengenai xl prioritasnya terlalu ribet, soal penagihan dan sistem layanannya kurang memuaskan terutama antara kuota dan tagihan, kuota sudah tagihan ada, padahal tiap bulan selalu saya isi pulsa, itupun tidak pernah terlambat, tapi kenyataannya masih ada penagihan lain yang saya sendiri tidak tahu penagihan apa, saya mohon penjelasannya ?"</t>
  </si>
  <si>
    <t>Teszya</t>
  </si>
  <si>
    <t>"Aplikasi My Xl tidak bisa terbuka padahal jaringan data full dan ada..tapi pada saat buka aplikasi sangat lama dan ada keluar tulisan koneksi tidak ada,padahal buka youtube lancar,wa smw lancar dan kuota internet.ini kenapa ya????"</t>
  </si>
  <si>
    <t>Poyothok Poyo</t>
  </si>
  <si>
    <t>"Dear Xl-AXIATA Saya Eko Adha domisilisi di Serang Banten, setelah melakukan pengisian pulsa, sy mendapatkan sms /pemberitahuan bahwa sy mendapat kouta xtra sebesar 200MB (150MB lokal &amp; 50MB Nasional) nofikasi via sms &amp; apk menytakan bonus kouta anda sdh aktif, namun ketika sy nyalakan data cellular'nya pulsa sy di potong sebesar Rp. 4015, apa &amp; utk biaya apa pulsa sy di potong, hal ini tdklah fair, bayangkan ada brp juta pelanggan XL &amp; jika hal ini terjadi juga pd pelanggan lain ...!?"</t>
  </si>
  <si>
    <t>Santi San</t>
  </si>
  <si>
    <t>"Plizz ini kalo ambil kuota itu bayar ngak sih????????????????????????????????????? Soal'nya aku mau ambil yg 28GB 30hari Di situ ada tulisan nya Rp 55.000.000 Terus ada tulisan di sebelah nya AKTIFKAN Itu bayar gak ya"</t>
  </si>
  <si>
    <t>Muhammad Zaenuddin</t>
  </si>
  <si>
    <t>"Kenapa kalo kita beli paketan data, terus paketan data yang sebelumnya langsung Angus???????? Misal gw beli paket yang 20+40, itu masih kisaran 15gb an lagi Terus gak sengaja gw beli paket lagi yang 10+20, kenapa paketan yang 20+40 nya Angus???????? Gini amat nyari duit LOL"</t>
  </si>
  <si>
    <t>Trz Crouz</t>
  </si>
  <si>
    <t>"Ada apa ini .....?? kenapa belakangan ini jaringan nya makin parah aja....sampe nonton YouTube aja harus di resolusi 144 baru bisa jalan...apa faktor cuaca ..atau ada kendala teknis .... soalnya bukan cumna saya...tmn saya semuanya yg pake XL punya keluhan yg sama...tolong lahhh segera di perbaiki...."</t>
  </si>
  <si>
    <t>Rosdiana Ros</t>
  </si>
  <si>
    <t>"Tolooooongggg di perbaiki... Jaringan lemot bvt padahal kuota banyak... Gimana dong... Sy sudah minta di perbaiki ber x x tp tetep saja lemot. Penting untuk internett"</t>
  </si>
  <si>
    <t>Febri Kristy</t>
  </si>
  <si>
    <t>"Layananya aneh sekali, call center xl sekrng isinya fokus iklan, gak fokus pelayanan konsumen, aplikasi nya aneh, live chatnya paling aneh baru masuk dah ilklan produk, gak nyambung lagi, live customer service nya lamaaaa sekali balesnya,nggu jawabn bisa 3 menitan, klo kita gak bales di tinggal pergi, kudu sabarrr pake bgt"</t>
  </si>
  <si>
    <t>Pengguna Google</t>
  </si>
  <si>
    <t>"Kadang suka susah masuk ke dalam aplikasi padahal kuota ada, wifi ada, jaringan bagus nonton youtube atau buka aplikasi lainnya lancar, tapi mau masuk ke aplikasi ini suka gabisa alasannya perbarui jaringan terus, mohon dimaksimalkan lagi"</t>
  </si>
  <si>
    <t>Muhamad Ibnu Hajar</t>
  </si>
  <si>
    <t>"19 November 2021 pulsa saya berkurang Rp.72.688,- padahal saya gak melakukan transaksi apapun tapi saya cek history di aplikasi ada riwayat pembelian paket.. Saya orang miskin, pulsa lagi di iritÃ‚Â² .. Tolong kembalikan pulsa saya.."</t>
  </si>
  <si>
    <t>Rio Fernando</t>
  </si>
  <si>
    <t>"Apk gak jelas asli.... Beli paketan gk bisa bisa..pdhl udh di update..nyambung wifi kenceng jg...masak harus beli lewat voucher trs....cek kuota jg sering masalah...ini apk siap pakai apa gk sih"</t>
  </si>
  <si>
    <t>Marzukdy Yudhie</t>
  </si>
  <si>
    <t>"Xl kartu asu,, jaringan full Kuota banyak ,, tapi malah ga bisa akses ke internet,, harga mahal,, tolong admin lebih teliti lagi,, auto uninstall langsung ganti kartu lain"</t>
  </si>
  <si>
    <t>Muhammad Ichbal</t>
  </si>
  <si>
    <t>"Sinyal XL parah sekali, saya turunin lagi jadi bintang 1. Parah banget beli pulsa 100 rb, pulsa orang hilang gitu aja tanpa ada riwayat yg jelas. Ko pulsa orang main ambil gitu sih."</t>
  </si>
  <si>
    <t>Tri Ulfhayanti</t>
  </si>
  <si>
    <t>"Saya sudah membeli paket kuota melalui App, pembayarnya lewat BRIMO. Pembayaran sdh sukses/ berhasil. Tp paket belum masuk. Sy coba melalu chat di live chat tp pesannya otomatis"</t>
  </si>
  <si>
    <t>Ainun Nurmatin</t>
  </si>
  <si>
    <t>"Xl sekarang beda sama dulu, sekarang xl borosnya kebangetan, masa iya 10 GB gk nyampe 2 minggu, pdhal jarang dipake, cuma di pake pas penting aja, buka youtube juga gk pernah, dulu pake xl 11 GB bisa nyampe 3 minggu, skrang 1 hari abis 1 gb, bener bener deh kalo data seluler gk dimatiin mski pun gk di pake nyedot bgt ke kuota, kalo ini bkn nomor penting aku udah ganti kartu dr kemaren kmaren"</t>
  </si>
  <si>
    <t>Andri Iskandar</t>
  </si>
  <si>
    <t>"Sebagai Pelanggan Setia XL Bertahun tahun , Kecewa dengan Layanan XL sekarang . Jaringan Internet tidak sesuai dengan yg d harapkan padahal sdh memakai Paket VIP . Semoga dengan banyaknya masukan dr para pelanggan , XL bisa lebih baik lagi . Tolong yang jawab jangan Boot !!! Terima kasih"</t>
  </si>
  <si>
    <t>Atiqa Luna</t>
  </si>
  <si>
    <t>"Suka boros kalo pake sekali beli mahal bgt kalo dapet bonus eh pas dipakek di apk bonus ny yg abis kouta utama,gmn sih,apa lg buat nge game pasti keluar game mulu karena koneksi kalo pas mau abis malah lanjar gmn toh,kl pake bonus it langsung bisa gitu lho maksud ku ngak habisin kouta utama,knp ngak ad pembatasan pemakaian kouta jg jd boros ma kalap kalo maen hp nya sumpah dh kalo di kasih kaya gitu pasti awet jg sebulan,ih iyha jg ak dapet bonus buat akses ig gak bisa malah keluar keluar mulu"</t>
  </si>
  <si>
    <t>Elvina Fhelichia.M</t>
  </si>
  <si>
    <t>"Kenapa jaringan XL leletnya minta ampun? Jaringan 4G Pdahal paket msih banyak. Dan terpaksa beli voucher XL lagi ternyata bisa itupun cmn 2 hari, kemudian lelet lagi. Ahkkkk sangat buruk sekali skrng XL. Sudah 3 hari sprti ini. Mau buka google tak bisa,cmn YouTube yg bisa Krn unlimited itupun lelet juga harus bersabar nungguinnya. Sepertinya bkn saya aja yg mengalaminya. Tolong diperbaiki supaya saya kasih bintang 5. Salam dari Pekanbaru"</t>
  </si>
  <si>
    <t>Mukhammad Luqman Iskhaq</t>
  </si>
  <si>
    <t>"Sedang terjadi kesalahan Maaf, untuk saat ini anda belum bisa masuk dan menggunakan layanan myXL. Silahkan coba beberapa saat lagi. (Kode 4104) Bahkan lebih dari dua bulan gini terus"</t>
  </si>
  <si>
    <t>Row Labels</t>
  </si>
  <si>
    <t>Grand Total</t>
  </si>
  <si>
    <t>2021</t>
  </si>
  <si>
    <t>Nov</t>
  </si>
  <si>
    <t>Dec</t>
  </si>
  <si>
    <t>2022</t>
  </si>
  <si>
    <t>Jan</t>
  </si>
  <si>
    <t>Feb</t>
  </si>
  <si>
    <t>Sentimen2</t>
  </si>
  <si>
    <t>Count of sentimen2</t>
  </si>
  <si>
    <t>Count of UserName</t>
  </si>
  <si>
    <t>Count of Score</t>
  </si>
  <si>
    <t>MY XL DASHBOARD</t>
  </si>
  <si>
    <t>comparison of assessment scores</t>
  </si>
  <si>
    <t>number of respondents</t>
  </si>
  <si>
    <t>Count of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</si>
</sst>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1"/>
      <name val="Calibri"/>
      <family val="2"/>
      <scheme val="minor"/>
    </font>
    <font>
      <b/>
      <sz val="22"/>
      <color theme="1"/>
      <name val="Calibri"/>
      <family val="2"/>
      <scheme val="minor"/>
    </font>
    <font>
      <b/>
      <sz val="22"/>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9" tint="-0.249977111117893"/>
        <bgColor indexed="64"/>
      </patternFill>
    </fill>
  </fills>
  <borders count="11">
    <border>
      <left/>
      <right/>
      <top/>
      <bottom/>
      <diagonal/>
    </border>
    <border>
      <left/>
      <right/>
      <top style="thin">
        <color theme="4" tint="0.3999755851924192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14" fontId="0" fillId="0" borderId="0" xfId="0" applyNumberFormat="1"/>
    <xf numFmtId="21"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indent="1"/>
    </xf>
    <xf numFmtId="0" fontId="3" fillId="0" borderId="0" xfId="0" applyFont="1" applyAlignment="1">
      <alignment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0" xfId="0" applyFont="1" applyFill="1" applyBorder="1" applyAlignment="1">
      <alignment horizontal="center" vertical="center"/>
    </xf>
    <xf numFmtId="0" fontId="4" fillId="3" borderId="7" xfId="0" applyFont="1" applyFill="1" applyBorder="1" applyAlignment="1">
      <alignment horizontal="center" vertical="center"/>
    </xf>
    <xf numFmtId="0" fontId="0" fillId="0" borderId="6" xfId="0" applyBorder="1"/>
    <xf numFmtId="0" fontId="0" fillId="0" borderId="0"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2" xfId="0" applyNumberFormat="1" applyBorder="1"/>
    <xf numFmtId="0" fontId="0" fillId="0" borderId="2" xfId="0" applyBorder="1"/>
    <xf numFmtId="0" fontId="2" fillId="2" borderId="1" xfId="0" applyFont="1" applyFill="1" applyBorder="1"/>
    <xf numFmtId="9" fontId="0" fillId="0" borderId="0" xfId="1" applyFont="1"/>
  </cellXfs>
  <cellStyles count="2">
    <cellStyle name="Normal" xfId="0" builtinId="0"/>
    <cellStyle name="Percent" xfId="1" builtinId="5"/>
  </cellStyles>
  <dxfs count="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6" formatCode="hh:mm:ss"/>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[MyXL Final.xlsx]basics_statistic!PivotTable2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D" sz="1400" b="1" i="0" u="none" strike="noStrike" cap="none" baseline="0"/>
              <a:t>Sentiment Value by Type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basics_statistic!$B$12</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basics_statistic!$A$13:$A$16</c:f>
              <c:strCache>
                <c:ptCount val="3"/>
                <c:pt idx="0">
                  <c:v>Negative</c:v>
                </c:pt>
                <c:pt idx="1">
                  <c:v>Neutral</c:v>
                </c:pt>
                <c:pt idx="2">
                  <c:v>Positive</c:v>
                </c:pt>
              </c:strCache>
            </c:strRef>
          </c:cat>
          <c:val>
            <c:numRef>
              <c:f>basics_statistic!$B$13:$B$16</c:f>
              <c:numCache>
                <c:formatCode>General</c:formatCode>
                <c:ptCount val="3"/>
                <c:pt idx="0">
                  <c:v>94</c:v>
                </c:pt>
                <c:pt idx="1">
                  <c:v>759</c:v>
                </c:pt>
                <c:pt idx="2">
                  <c:v>147</c:v>
                </c:pt>
              </c:numCache>
            </c:numRef>
          </c:val>
          <c:extLst>
            <c:ext xmlns:c16="http://schemas.microsoft.com/office/drawing/2014/chart" uri="{C3380CC4-5D6E-409C-BE32-E72D297353CC}">
              <c16:uniqueId val="{00000000-2907-4B6E-BED0-A5634419B21F}"/>
            </c:ext>
          </c:extLst>
        </c:ser>
        <c:dLbls>
          <c:dLblPos val="outEnd"/>
          <c:showLegendKey val="0"/>
          <c:showVal val="1"/>
          <c:showCatName val="0"/>
          <c:showSerName val="0"/>
          <c:showPercent val="0"/>
          <c:showBubbleSize val="0"/>
        </c:dLbls>
        <c:gapWidth val="182"/>
        <c:overlap val="-50"/>
        <c:axId val="1804862880"/>
        <c:axId val="1804863296"/>
      </c:barChart>
      <c:catAx>
        <c:axId val="180486288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D"/>
                  <a:t>SENTIMENT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4863296"/>
        <c:crosses val="autoZero"/>
        <c:auto val="1"/>
        <c:lblAlgn val="ctr"/>
        <c:lblOffset val="100"/>
        <c:noMultiLvlLbl val="0"/>
      </c:catAx>
      <c:valAx>
        <c:axId val="180486329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D" sz="900" b="1" i="0" u="none" strike="noStrike" baseline="0">
                    <a:effectLst/>
                  </a:rPr>
                  <a:t>SENTIMENT VALUE</a:t>
                </a:r>
                <a:endParaRPr lang="en-ID" b="1"/>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4862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[MyXL Final.xlsx]basics_statistic!PivotTable5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Comparison Assessment</a:t>
            </a:r>
            <a:r>
              <a:rPr lang="en-US" baseline="0"/>
              <a:t> Scores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basics_statistic!$F$6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basics_statistic!$E$7:$E$12</c:f>
              <c:strCache>
                <c:ptCount val="5"/>
                <c:pt idx="0">
                  <c:v>1</c:v>
                </c:pt>
                <c:pt idx="1">
                  <c:v>2</c:v>
                </c:pt>
                <c:pt idx="2">
                  <c:v>3</c:v>
                </c:pt>
                <c:pt idx="3">
                  <c:v>4</c:v>
                </c:pt>
                <c:pt idx="4">
                  <c:v>5</c:v>
                </c:pt>
              </c:strCache>
            </c:strRef>
          </c:cat>
          <c:val>
            <c:numRef>
              <c:f>basics_statistic!$F$7:$F$12</c:f>
              <c:numCache>
                <c:formatCode>General</c:formatCode>
                <c:ptCount val="5"/>
                <c:pt idx="0">
                  <c:v>549</c:v>
                </c:pt>
                <c:pt idx="1">
                  <c:v>118</c:v>
                </c:pt>
                <c:pt idx="2">
                  <c:v>97</c:v>
                </c:pt>
                <c:pt idx="3">
                  <c:v>81</c:v>
                </c:pt>
                <c:pt idx="4">
                  <c:v>155</c:v>
                </c:pt>
              </c:numCache>
            </c:numRef>
          </c:val>
          <c:extLst>
            <c:ext xmlns:c16="http://schemas.microsoft.com/office/drawing/2014/chart" uri="{C3380CC4-5D6E-409C-BE32-E72D297353CC}">
              <c16:uniqueId val="{00000000-A3ED-487B-A1B7-FF30411AA7A2}"/>
            </c:ext>
          </c:extLst>
        </c:ser>
        <c:dLbls>
          <c:dLblPos val="outEnd"/>
          <c:showLegendKey val="0"/>
          <c:showVal val="1"/>
          <c:showCatName val="0"/>
          <c:showSerName val="0"/>
          <c:showPercent val="0"/>
          <c:showBubbleSize val="0"/>
        </c:dLbls>
        <c:gapWidth val="100"/>
        <c:overlap val="-24"/>
        <c:axId val="1806789792"/>
        <c:axId val="1806790624"/>
      </c:barChart>
      <c:catAx>
        <c:axId val="18067897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D"/>
                  <a:t>Scores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6790624"/>
        <c:crosses val="autoZero"/>
        <c:auto val="1"/>
        <c:lblAlgn val="ctr"/>
        <c:lblOffset val="100"/>
        <c:noMultiLvlLbl val="0"/>
      </c:catAx>
      <c:valAx>
        <c:axId val="180679062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D"/>
                  <a:t>number of respondents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6789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[MyXL Final.xlsx]basics_statistic!PivotTable1</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Sentiment Trend Over Time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6"/>
            </a:solidFill>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basics_statistic!$B$2</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basics_statistic!$A$3:$A$9</c:f>
              <c:multiLvlStrCache>
                <c:ptCount val="4"/>
                <c:lvl>
                  <c:pt idx="0">
                    <c:v>Nov</c:v>
                  </c:pt>
                  <c:pt idx="1">
                    <c:v>Dec</c:v>
                  </c:pt>
                  <c:pt idx="2">
                    <c:v>Jan</c:v>
                  </c:pt>
                  <c:pt idx="3">
                    <c:v>Feb</c:v>
                  </c:pt>
                </c:lvl>
                <c:lvl>
                  <c:pt idx="0">
                    <c:v>2021</c:v>
                  </c:pt>
                  <c:pt idx="2">
                    <c:v>2022</c:v>
                  </c:pt>
                </c:lvl>
              </c:multiLvlStrCache>
            </c:multiLvlStrRef>
          </c:cat>
          <c:val>
            <c:numRef>
              <c:f>basics_statistic!$B$3:$B$9</c:f>
              <c:numCache>
                <c:formatCode>General</c:formatCode>
                <c:ptCount val="4"/>
                <c:pt idx="0">
                  <c:v>112</c:v>
                </c:pt>
                <c:pt idx="1">
                  <c:v>320</c:v>
                </c:pt>
                <c:pt idx="2">
                  <c:v>262</c:v>
                </c:pt>
                <c:pt idx="3">
                  <c:v>306</c:v>
                </c:pt>
              </c:numCache>
            </c:numRef>
          </c:val>
          <c:smooth val="0"/>
          <c:extLst>
            <c:ext xmlns:c16="http://schemas.microsoft.com/office/drawing/2014/chart" uri="{C3380CC4-5D6E-409C-BE32-E72D297353CC}">
              <c16:uniqueId val="{00000000-4667-41CF-BF54-294D502F4AA7}"/>
            </c:ext>
          </c:extLst>
        </c:ser>
        <c:dLbls>
          <c:dLblPos val="t"/>
          <c:showLegendKey val="0"/>
          <c:showVal val="1"/>
          <c:showCatName val="0"/>
          <c:showSerName val="0"/>
          <c:showPercent val="0"/>
          <c:showBubbleSize val="0"/>
        </c:dLbls>
        <c:marker val="1"/>
        <c:smooth val="0"/>
        <c:axId val="1763243376"/>
        <c:axId val="1763249200"/>
      </c:lineChart>
      <c:catAx>
        <c:axId val="17632433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D"/>
                  <a:t>TIME PERIOD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3249200"/>
        <c:crosses val="autoZero"/>
        <c:auto val="1"/>
        <c:lblAlgn val="ctr"/>
        <c:lblOffset val="100"/>
        <c:noMultiLvlLbl val="0"/>
      </c:catAx>
      <c:valAx>
        <c:axId val="176324920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D"/>
                  <a:t>VALUE OF SENTIMENT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324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[MyXL Final.xlsx]basics_statistic!PivotTable1</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Sentiment Trend Over Time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6"/>
            </a:solidFill>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basics_statistic!$B$2</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basics_statistic!$A$3:$A$9</c:f>
              <c:multiLvlStrCache>
                <c:ptCount val="4"/>
                <c:lvl>
                  <c:pt idx="0">
                    <c:v>Nov</c:v>
                  </c:pt>
                  <c:pt idx="1">
                    <c:v>Dec</c:v>
                  </c:pt>
                  <c:pt idx="2">
                    <c:v>Jan</c:v>
                  </c:pt>
                  <c:pt idx="3">
                    <c:v>Feb</c:v>
                  </c:pt>
                </c:lvl>
                <c:lvl>
                  <c:pt idx="0">
                    <c:v>2021</c:v>
                  </c:pt>
                  <c:pt idx="2">
                    <c:v>2022</c:v>
                  </c:pt>
                </c:lvl>
              </c:multiLvlStrCache>
            </c:multiLvlStrRef>
          </c:cat>
          <c:val>
            <c:numRef>
              <c:f>basics_statistic!$B$3:$B$9</c:f>
              <c:numCache>
                <c:formatCode>General</c:formatCode>
                <c:ptCount val="4"/>
                <c:pt idx="0">
                  <c:v>112</c:v>
                </c:pt>
                <c:pt idx="1">
                  <c:v>320</c:v>
                </c:pt>
                <c:pt idx="2">
                  <c:v>262</c:v>
                </c:pt>
                <c:pt idx="3">
                  <c:v>306</c:v>
                </c:pt>
              </c:numCache>
            </c:numRef>
          </c:val>
          <c:smooth val="0"/>
          <c:extLst>
            <c:ext xmlns:c16="http://schemas.microsoft.com/office/drawing/2014/chart" uri="{C3380CC4-5D6E-409C-BE32-E72D297353CC}">
              <c16:uniqueId val="{00000000-DF3F-4074-90FB-C70DAB2A3965}"/>
            </c:ext>
          </c:extLst>
        </c:ser>
        <c:dLbls>
          <c:dLblPos val="t"/>
          <c:showLegendKey val="0"/>
          <c:showVal val="1"/>
          <c:showCatName val="0"/>
          <c:showSerName val="0"/>
          <c:showPercent val="0"/>
          <c:showBubbleSize val="0"/>
        </c:dLbls>
        <c:marker val="1"/>
        <c:smooth val="0"/>
        <c:axId val="1763243376"/>
        <c:axId val="1763249200"/>
      </c:lineChart>
      <c:catAx>
        <c:axId val="17632433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D"/>
                  <a:t>TIME PERIOD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3249200"/>
        <c:crosses val="autoZero"/>
        <c:auto val="1"/>
        <c:lblAlgn val="ctr"/>
        <c:lblOffset val="100"/>
        <c:noMultiLvlLbl val="0"/>
      </c:catAx>
      <c:valAx>
        <c:axId val="176324920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D"/>
                  <a:t>VALUE OF SENTIMENT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324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[MyXL Final.xlsx]basics_statistic!PivotTable5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Comparison Assessment</a:t>
            </a:r>
            <a:r>
              <a:rPr lang="en-US" baseline="0"/>
              <a:t> Scores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basics_statistic!$F$6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basics_statistic!$E$7:$E$12</c:f>
              <c:strCache>
                <c:ptCount val="5"/>
                <c:pt idx="0">
                  <c:v>1</c:v>
                </c:pt>
                <c:pt idx="1">
                  <c:v>2</c:v>
                </c:pt>
                <c:pt idx="2">
                  <c:v>3</c:v>
                </c:pt>
                <c:pt idx="3">
                  <c:v>4</c:v>
                </c:pt>
                <c:pt idx="4">
                  <c:v>5</c:v>
                </c:pt>
              </c:strCache>
            </c:strRef>
          </c:cat>
          <c:val>
            <c:numRef>
              <c:f>basics_statistic!$F$7:$F$12</c:f>
              <c:numCache>
                <c:formatCode>General</c:formatCode>
                <c:ptCount val="5"/>
                <c:pt idx="0">
                  <c:v>549</c:v>
                </c:pt>
                <c:pt idx="1">
                  <c:v>118</c:v>
                </c:pt>
                <c:pt idx="2">
                  <c:v>97</c:v>
                </c:pt>
                <c:pt idx="3">
                  <c:v>81</c:v>
                </c:pt>
                <c:pt idx="4">
                  <c:v>155</c:v>
                </c:pt>
              </c:numCache>
            </c:numRef>
          </c:val>
          <c:extLst>
            <c:ext xmlns:c16="http://schemas.microsoft.com/office/drawing/2014/chart" uri="{C3380CC4-5D6E-409C-BE32-E72D297353CC}">
              <c16:uniqueId val="{00000000-FF09-4C27-81EC-BCFE9DD8E305}"/>
            </c:ext>
          </c:extLst>
        </c:ser>
        <c:dLbls>
          <c:dLblPos val="outEnd"/>
          <c:showLegendKey val="0"/>
          <c:showVal val="1"/>
          <c:showCatName val="0"/>
          <c:showSerName val="0"/>
          <c:showPercent val="0"/>
          <c:showBubbleSize val="0"/>
        </c:dLbls>
        <c:gapWidth val="100"/>
        <c:overlap val="-24"/>
        <c:axId val="1806789792"/>
        <c:axId val="1806790624"/>
      </c:barChart>
      <c:catAx>
        <c:axId val="18067897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D"/>
                  <a:t>Scores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6790624"/>
        <c:crosses val="autoZero"/>
        <c:auto val="1"/>
        <c:lblAlgn val="ctr"/>
        <c:lblOffset val="100"/>
        <c:noMultiLvlLbl val="0"/>
      </c:catAx>
      <c:valAx>
        <c:axId val="180679062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D"/>
                  <a:t>number of respondents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6789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[MyXL Final.xlsx]basics_statistic!PivotTable2</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D" sz="1400" b="1" i="0" u="none" strike="noStrike" cap="none" baseline="0"/>
              <a:t>Sentiment Value by Type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basics_statistic!$B$12</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basics_statistic!$A$13:$A$16</c:f>
              <c:strCache>
                <c:ptCount val="3"/>
                <c:pt idx="0">
                  <c:v>Negative</c:v>
                </c:pt>
                <c:pt idx="1">
                  <c:v>Neutral</c:v>
                </c:pt>
                <c:pt idx="2">
                  <c:v>Positive</c:v>
                </c:pt>
              </c:strCache>
            </c:strRef>
          </c:cat>
          <c:val>
            <c:numRef>
              <c:f>basics_statistic!$B$13:$B$16</c:f>
              <c:numCache>
                <c:formatCode>General</c:formatCode>
                <c:ptCount val="3"/>
                <c:pt idx="0">
                  <c:v>94</c:v>
                </c:pt>
                <c:pt idx="1">
                  <c:v>759</c:v>
                </c:pt>
                <c:pt idx="2">
                  <c:v>147</c:v>
                </c:pt>
              </c:numCache>
            </c:numRef>
          </c:val>
          <c:extLst>
            <c:ext xmlns:c16="http://schemas.microsoft.com/office/drawing/2014/chart" uri="{C3380CC4-5D6E-409C-BE32-E72D297353CC}">
              <c16:uniqueId val="{00000000-2427-4FFA-B7CD-615D54025746}"/>
            </c:ext>
          </c:extLst>
        </c:ser>
        <c:dLbls>
          <c:dLblPos val="outEnd"/>
          <c:showLegendKey val="0"/>
          <c:showVal val="1"/>
          <c:showCatName val="0"/>
          <c:showSerName val="0"/>
          <c:showPercent val="0"/>
          <c:showBubbleSize val="0"/>
        </c:dLbls>
        <c:gapWidth val="182"/>
        <c:overlap val="-50"/>
        <c:axId val="1804862880"/>
        <c:axId val="1804863296"/>
      </c:barChart>
      <c:catAx>
        <c:axId val="180486288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D"/>
                  <a:t>SENTIMENT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4863296"/>
        <c:crosses val="autoZero"/>
        <c:auto val="1"/>
        <c:lblAlgn val="ctr"/>
        <c:lblOffset val="100"/>
        <c:noMultiLvlLbl val="0"/>
      </c:catAx>
      <c:valAx>
        <c:axId val="180486329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D" sz="900" b="1" i="0" u="none" strike="noStrike" baseline="0">
                    <a:effectLst/>
                  </a:rPr>
                  <a:t>SENTIMENT VALUE</a:t>
                </a:r>
                <a:endParaRPr lang="en-ID" b="1"/>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4862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4762</xdr:colOff>
      <xdr:row>16</xdr:row>
      <xdr:rowOff>9525</xdr:rowOff>
    </xdr:from>
    <xdr:to>
      <xdr:col>13</xdr:col>
      <xdr:colOff>556762</xdr:colOff>
      <xdr:row>29</xdr:row>
      <xdr:rowOff>53025</xdr:rowOff>
    </xdr:to>
    <xdr:graphicFrame macro="">
      <xdr:nvGraphicFramePr>
        <xdr:cNvPr id="4" name="Chart 3">
          <a:extLst>
            <a:ext uri="{FF2B5EF4-FFF2-40B4-BE49-F238E27FC236}">
              <a16:creationId xmlns:a16="http://schemas.microsoft.com/office/drawing/2014/main" id="{8E2C3166-4B9D-4D06-9B07-D1DB3C065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4762</xdr:colOff>
      <xdr:row>1</xdr:row>
      <xdr:rowOff>9525</xdr:rowOff>
    </xdr:from>
    <xdr:to>
      <xdr:col>20</xdr:col>
      <xdr:colOff>556762</xdr:colOff>
      <xdr:row>14</xdr:row>
      <xdr:rowOff>53025</xdr:rowOff>
    </xdr:to>
    <xdr:graphicFrame macro="">
      <xdr:nvGraphicFramePr>
        <xdr:cNvPr id="11" name="Chart 10">
          <a:extLst>
            <a:ext uri="{FF2B5EF4-FFF2-40B4-BE49-F238E27FC236}">
              <a16:creationId xmlns:a16="http://schemas.microsoft.com/office/drawing/2014/main" id="{BB89B189-2166-44F7-867A-82CAAC034D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595312</xdr:colOff>
      <xdr:row>1</xdr:row>
      <xdr:rowOff>0</xdr:rowOff>
    </xdr:from>
    <xdr:to>
      <xdr:col>13</xdr:col>
      <xdr:colOff>537712</xdr:colOff>
      <xdr:row>14</xdr:row>
      <xdr:rowOff>43500</xdr:rowOff>
    </xdr:to>
    <xdr:graphicFrame macro="">
      <xdr:nvGraphicFramePr>
        <xdr:cNvPr id="12" name="Chart 11">
          <a:extLst>
            <a:ext uri="{FF2B5EF4-FFF2-40B4-BE49-F238E27FC236}">
              <a16:creationId xmlns:a16="http://schemas.microsoft.com/office/drawing/2014/main" id="{C9A9722C-C914-4F42-9861-1BE88D668C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590550</xdr:colOff>
      <xdr:row>19</xdr:row>
      <xdr:rowOff>0</xdr:rowOff>
    </xdr:from>
    <xdr:to>
      <xdr:col>16</xdr:col>
      <xdr:colOff>504824</xdr:colOff>
      <xdr:row>32</xdr:row>
      <xdr:rowOff>43500</xdr:rowOff>
    </xdr:to>
    <xdr:graphicFrame macro="">
      <xdr:nvGraphicFramePr>
        <xdr:cNvPr id="2" name="Chart 1">
          <a:extLst>
            <a:ext uri="{FF2B5EF4-FFF2-40B4-BE49-F238E27FC236}">
              <a16:creationId xmlns:a16="http://schemas.microsoft.com/office/drawing/2014/main" id="{662542B1-50B3-4FAE-A8FA-DC3A98A1C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571500</xdr:colOff>
      <xdr:row>5</xdr:row>
      <xdr:rowOff>9525</xdr:rowOff>
    </xdr:from>
    <xdr:to>
      <xdr:col>16</xdr:col>
      <xdr:colOff>513900</xdr:colOff>
      <xdr:row>18</xdr:row>
      <xdr:rowOff>53025</xdr:rowOff>
    </xdr:to>
    <xdr:graphicFrame macro="">
      <xdr:nvGraphicFramePr>
        <xdr:cNvPr id="3" name="Chart 2">
          <a:extLst>
            <a:ext uri="{FF2B5EF4-FFF2-40B4-BE49-F238E27FC236}">
              <a16:creationId xmlns:a16="http://schemas.microsoft.com/office/drawing/2014/main" id="{2AC4039C-C0B2-4003-BC22-82C6C8F27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590550</xdr:colOff>
      <xdr:row>5</xdr:row>
      <xdr:rowOff>0</xdr:rowOff>
    </xdr:from>
    <xdr:to>
      <xdr:col>10</xdr:col>
      <xdr:colOff>532950</xdr:colOff>
      <xdr:row>18</xdr:row>
      <xdr:rowOff>43500</xdr:rowOff>
    </xdr:to>
    <xdr:graphicFrame macro="">
      <xdr:nvGraphicFramePr>
        <xdr:cNvPr id="5" name="Chart 4">
          <a:extLst>
            <a:ext uri="{FF2B5EF4-FFF2-40B4-BE49-F238E27FC236}">
              <a16:creationId xmlns:a16="http://schemas.microsoft.com/office/drawing/2014/main" id="{16978427-BEAB-4661-B50A-7D3F8B71C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85725</xdr:colOff>
      <xdr:row>5</xdr:row>
      <xdr:rowOff>0</xdr:rowOff>
    </xdr:from>
    <xdr:to>
      <xdr:col>4</xdr:col>
      <xdr:colOff>428624</xdr:colOff>
      <xdr:row>12</xdr:row>
      <xdr:rowOff>38099</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915E9C37-A873-4CC9-90D4-1E26F564E827}"/>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90843" y="952500"/>
              <a:ext cx="1911722" cy="1371599"/>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2</xdr:col>
      <xdr:colOff>0</xdr:colOff>
      <xdr:row>23</xdr:row>
      <xdr:rowOff>85725</xdr:rowOff>
    </xdr:from>
    <xdr:to>
      <xdr:col>4</xdr:col>
      <xdr:colOff>430350</xdr:colOff>
      <xdr:row>32</xdr:row>
      <xdr:rowOff>47624</xdr:rowOff>
    </xdr:to>
    <mc:AlternateContent xmlns:mc="http://schemas.openxmlformats.org/markup-compatibility/2006">
      <mc:Choice xmlns:a14="http://schemas.microsoft.com/office/drawing/2010/main" Requires="a14">
        <xdr:graphicFrame macro="">
          <xdr:nvGraphicFramePr>
            <xdr:cNvPr id="10" name="Keterangan_fix">
              <a:extLst>
                <a:ext uri="{FF2B5EF4-FFF2-40B4-BE49-F238E27FC236}">
                  <a16:creationId xmlns:a16="http://schemas.microsoft.com/office/drawing/2014/main" id="{78C0C2BD-91B7-40BA-8E6F-6732A2B0C559}"/>
                </a:ext>
              </a:extLst>
            </xdr:cNvPr>
            <xdr:cNvGraphicFramePr/>
          </xdr:nvGraphicFramePr>
          <xdr:xfrm>
            <a:off x="0" y="0"/>
            <a:ext cx="0" cy="0"/>
          </xdr:xfrm>
          <a:graphic>
            <a:graphicData uri="http://schemas.microsoft.com/office/drawing/2010/slicer">
              <sle:slicer xmlns:sle="http://schemas.microsoft.com/office/drawing/2010/slicer" name="Keterangan_fix"/>
            </a:graphicData>
          </a:graphic>
        </xdr:graphicFrame>
      </mc:Choice>
      <mc:Fallback>
        <xdr:sp macro="" textlink="">
          <xdr:nvSpPr>
            <xdr:cNvPr id="0" name=""/>
            <xdr:cNvSpPr>
              <a:spLocks noTextEdit="1"/>
            </xdr:cNvSpPr>
          </xdr:nvSpPr>
          <xdr:spPr>
            <a:xfrm>
              <a:off x="705971" y="4500843"/>
              <a:ext cx="1898320" cy="16763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9524</xdr:colOff>
      <xdr:row>16</xdr:row>
      <xdr:rowOff>1</xdr:rowOff>
    </xdr:from>
    <xdr:to>
      <xdr:col>4</xdr:col>
      <xdr:colOff>438149</xdr:colOff>
      <xdr:row>22</xdr:row>
      <xdr:rowOff>57151</xdr:rowOff>
    </xdr:to>
    <mc:AlternateContent xmlns:mc="http://schemas.openxmlformats.org/markup-compatibility/2006">
      <mc:Choice xmlns:a14="http://schemas.microsoft.com/office/drawing/2010/main" Requires="a14">
        <xdr:graphicFrame macro="">
          <xdr:nvGraphicFramePr>
            <xdr:cNvPr id="11" name="sentimen2">
              <a:extLst>
                <a:ext uri="{FF2B5EF4-FFF2-40B4-BE49-F238E27FC236}">
                  <a16:creationId xmlns:a16="http://schemas.microsoft.com/office/drawing/2014/main" id="{0DAEE4ED-67E2-4F43-A6F8-539903EB6DC3}"/>
                </a:ext>
              </a:extLst>
            </xdr:cNvPr>
            <xdr:cNvGraphicFramePr/>
          </xdr:nvGraphicFramePr>
          <xdr:xfrm>
            <a:off x="0" y="0"/>
            <a:ext cx="0" cy="0"/>
          </xdr:xfrm>
          <a:graphic>
            <a:graphicData uri="http://schemas.microsoft.com/office/drawing/2010/slicer">
              <sle:slicer xmlns:sle="http://schemas.microsoft.com/office/drawing/2010/slicer" name="sentimen2"/>
            </a:graphicData>
          </a:graphic>
        </xdr:graphicFrame>
      </mc:Choice>
      <mc:Fallback>
        <xdr:sp macro="" textlink="">
          <xdr:nvSpPr>
            <xdr:cNvPr id="0" name=""/>
            <xdr:cNvSpPr>
              <a:spLocks noTextEdit="1"/>
            </xdr:cNvSpPr>
          </xdr:nvSpPr>
          <xdr:spPr>
            <a:xfrm>
              <a:off x="715495" y="3081619"/>
              <a:ext cx="1896595" cy="12001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114300</xdr:colOff>
      <xdr:row>0</xdr:row>
      <xdr:rowOff>180975</xdr:rowOff>
    </xdr:from>
    <xdr:to>
      <xdr:col>24</xdr:col>
      <xdr:colOff>493059</xdr:colOff>
      <xdr:row>32</xdr:row>
      <xdr:rowOff>123825</xdr:rowOff>
    </xdr:to>
    <xdr:sp macro="" textlink="">
      <xdr:nvSpPr>
        <xdr:cNvPr id="12" name="TextBox 11">
          <a:extLst>
            <a:ext uri="{FF2B5EF4-FFF2-40B4-BE49-F238E27FC236}">
              <a16:creationId xmlns:a16="http://schemas.microsoft.com/office/drawing/2014/main" id="{AD2766F9-EB28-44B4-A2AA-D4E6ABD85975}"/>
            </a:ext>
          </a:extLst>
        </xdr:cNvPr>
        <xdr:cNvSpPr txBox="1"/>
      </xdr:nvSpPr>
      <xdr:spPr>
        <a:xfrm>
          <a:off x="10154771" y="180975"/>
          <a:ext cx="4614582" cy="60724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b="1"/>
            <a:t>Berdasarkan hasil analisis yang telah dilakukan, diperoleh kesimpulan dan rekomendasi sebagai berikut:</a:t>
          </a:r>
        </a:p>
        <a:p>
          <a:endParaRPr lang="en-ID" b="1"/>
        </a:p>
        <a:p>
          <a:r>
            <a:rPr lang="en-ID" b="1"/>
            <a:t>Kesimpulan:</a:t>
          </a:r>
        </a:p>
        <a:p>
          <a:r>
            <a:rPr lang="en-ID" b="1"/>
            <a:t>1. Tipe sentimen tertinggi adalah </a:t>
          </a:r>
          <a:r>
            <a:rPr lang="en-ID" b="1" i="1"/>
            <a:t>Neutral</a:t>
          </a:r>
          <a:r>
            <a:rPr lang="en-ID"/>
            <a:t>, yang berarti brand belum mampu memberikan kepuasan yang lebih kepada pelanggan. Dari hasil tersebut, diperlukan analisis lebih mendalam terhadap data dari berbagai cabang dan wilayah.</a:t>
          </a:r>
        </a:p>
        <a:p>
          <a:r>
            <a:rPr lang="en-ID" b="1"/>
            <a:t>2. Persentase skor atau bintang 1 cukup tinggi</a:t>
          </a:r>
          <a:r>
            <a:rPr lang="en-ID"/>
            <a:t>, yaitu sekitar 55% dari total 1.000 ulasan. Hal ini menggambarkan bahwa tingkat kepuasan pelanggan terhadap produk maupun kontribusi </a:t>
          </a:r>
          <a:r>
            <a:rPr lang="en-ID" i="1"/>
            <a:t>brand awareness</a:t>
          </a:r>
          <a:r>
            <a:rPr lang="en-ID"/>
            <a:t> masih rendah dan belum mampu memenuhi kebutuhan pelanggan.</a:t>
          </a:r>
        </a:p>
        <a:p>
          <a:r>
            <a:rPr lang="en-ID" b="1"/>
            <a:t>3. Tren sentimen menunjukkan aktivitas yang tidak signifikan setiap bulan</a:t>
          </a:r>
          <a:r>
            <a:rPr lang="en-ID"/>
            <a:t>, menandakan bahwa tidak ada perubahan besar dalam persepsi pelanggan dari waktu ke waktu.</a:t>
          </a:r>
        </a:p>
        <a:p>
          <a:endParaRPr lang="en-ID"/>
        </a:p>
        <a:p>
          <a:r>
            <a:rPr lang="en-ID" b="1"/>
            <a:t>Rekomendasi / Insight:</a:t>
          </a:r>
        </a:p>
        <a:p>
          <a:r>
            <a:rPr lang="en-ID"/>
            <a:t>1. Karena produk utama brand kita adalah </a:t>
          </a:r>
          <a:r>
            <a:rPr lang="en-ID" b="1"/>
            <a:t>kartu seluler</a:t>
          </a:r>
          <a:r>
            <a:rPr lang="en-ID"/>
            <a:t> yang banyak digunakan untuk akses internet, maka perlu diperhatikan pula faktor-faktor lain yang memengaruhi kepuasan pelanggan, seperti yang dijelaskan pada kesimpulan nomor 1 dan 2.</a:t>
          </a:r>
          <a:br>
            <a:rPr lang="en-ID"/>
          </a:br>
          <a:r>
            <a:rPr lang="en-ID"/>
            <a:t>Misalnya, untuk meningkatkan keterlibatan pelanggan dan memperkuat </a:t>
          </a:r>
          <a:r>
            <a:rPr lang="en-ID" i="1"/>
            <a:t>brand awareness</a:t>
          </a:r>
          <a:r>
            <a:rPr lang="en-ID"/>
            <a:t>, perlu dianalisis korelasi antara produk utama (misalnya MyXL) dengan faktor pendukung seperti </a:t>
          </a:r>
          <a:r>
            <a:rPr lang="en-ID" b="1"/>
            <a:t>kualitas jaringan atau ketersediaan tower/pemancar sinyal</a:t>
          </a:r>
          <a:r>
            <a:rPr lang="en-ID"/>
            <a:t>. Meskipun penjualan tinggi, jika infrastruktur pendukungnya kurang optimal, maka </a:t>
          </a:r>
          <a:r>
            <a:rPr lang="en-ID" i="1"/>
            <a:t>brand awareness</a:t>
          </a:r>
          <a:r>
            <a:rPr lang="en-ID"/>
            <a:t> tetap akan rendah.</a:t>
          </a:r>
        </a:p>
        <a:p>
          <a:r>
            <a:rPr lang="en-ID" b="1"/>
            <a:t>2. Meningkatkan kualitas layanan pelanggan (customer service)</a:t>
          </a:r>
          <a:r>
            <a:rPr lang="en-ID"/>
            <a:t> ke level yang lebih memadai. Keluhan pelanggan yang cukup beragam — mulai dari masalah jaringan, promo, hingga kehilangan pulsa tanpa sebab yang jelas — menunjukkan bahwa perhatian terhadap layanan pelanggan masih kurang optimal.</a:t>
          </a:r>
          <a:br>
            <a:rPr lang="en-ID"/>
          </a:br>
          <a:r>
            <a:rPr lang="en-ID"/>
            <a:t>Oleh karena itu, perlu dilakukan peningkatan, misalnya dengan menambahkan informasi yang lebih jelas pada setiap opsi pembelian atau di situs resmi, serta menyediakan kanal layanan pelanggan yang mudah diakses bagi pengguna yang ingin menyampaikan keluhan.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ype GLK" refreshedDate="45973.715883217592" createdVersion="7" refreshedVersion="7" minRefreshableVersion="3" recordCount="1000" xr:uid="{9647CCC3-BC84-42C0-ADB3-6811D324C2BE}">
  <cacheSource type="worksheet">
    <worksheetSource name="Table1"/>
  </cacheSource>
  <cacheFields count="16">
    <cacheField name="UserName" numFmtId="0">
      <sharedItems count="999">
        <s v="Deden Herdiana"/>
        <s v="Herry Ghunawan"/>
        <s v="Miyuki"/>
        <s v="Wildan Saat Almaarif"/>
        <s v="Putri Purwantiy"/>
        <s v="Kki Ffi"/>
        <s v="Ipoel Slow"/>
        <s v="Ahmad Dzaki"/>
        <s v="Vera Robo"/>
        <s v="Ulul Fajar"/>
        <s v="Albany Raizansyah"/>
        <s v="Cuyiz Sulistyo Wonka"/>
        <s v="Robi Arshaka"/>
        <s v="Swandaru Tirta Sandhika"/>
        <s v="Teguh Susanto"/>
        <s v="Nur Wahid Sendi"/>
        <s v="Aji Firmansyah"/>
        <s v="Hendi Hasan"/>
        <s v="7E Muhammad Shofarryan Firmana"/>
        <s v="Rizaltoha"/>
        <s v="Su Hendrik"/>
        <s v="M Ihsan Malik"/>
        <s v="Nuha 885"/>
        <s v="J4N9 K1N9"/>
        <s v="Nia Dty"/>
        <s v="Muh Yaproni"/>
        <s v="Budi Handoko Sujatno"/>
        <s v="Ummi Hani"/>
        <s v="Arman Bor Stros"/>
        <s v="Hengky Y Lauw"/>
        <s v="Syam"/>
        <s v="Vlntino"/>
        <s v="Maya Ayunda"/>
        <s v="Fei Hung"/>
        <s v="Eka Rusmana"/>
        <s v="Agum Ge Pamungkas Id"/>
        <s v="Fahmi Rahmany"/>
        <s v="Tarno Noo"/>
        <s v="Farel Hdyt"/>
        <s v="Dany Permana"/>
        <s v="Kholis Y. F"/>
        <s v="Srii Elhaff"/>
        <s v="Arhai Aphie"/>
        <s v="Krisna Pramuditya"/>
        <s v="Dhirga Alvaro"/>
        <s v="Johananto -"/>
        <s v="Geming Nation206"/>
        <s v="Glng Agst"/>
        <s v="Cah Ndeso"/>
        <s v="Zainul Muttaqin"/>
        <s v="Rini Handayani"/>
        <s v="Wulan Sadun"/>
        <s v="Anggara Sahputra"/>
        <s v="Iis S"/>
        <s v="Hadi Maryadi"/>
        <s v="M Khairul Nizam"/>
        <s v="Budiarto Gultom"/>
        <s v="Rahmat Nur Fitri Ruhiyat"/>
        <s v="Kadhafi Hayz"/>
        <s v="Yudistera"/>
        <s v="Asep Ogell"/>
        <s v="I Wayan Suarsana"/>
        <s v="Mhd Toha"/>
        <s v="Boy Saleh"/>
        <s v="Pangeran Jalanan"/>
        <s v="Kitty Hariani-02"/>
        <s v="Calvine Pratama"/>
        <s v="Arul Hendra"/>
        <s v="Yudisa .A"/>
        <s v="Gusti Dwitama"/>
        <s v="Adham Mardin"/>
        <s v="Achmad Riefai"/>
        <s v="Sh Kurniasih"/>
        <s v="Aziznasir Sodikin124"/>
        <s v="Muhammad Hilmii H"/>
        <s v="Dino Thunder"/>
        <s v="Yusuf M Ikhsan"/>
        <s v="Nuri Febriantika"/>
        <s v="Ono Darsono"/>
        <s v="Dimas Nugroho"/>
        <s v="Ifan Jr"/>
        <s v="Keynaren Fazly Mawla"/>
        <s v="Ruci Trisandry Kirana"/>
        <s v="Rika Libra"/>
        <s v="Sony Anggara"/>
        <s v="Ulum Moba Gaming"/>
        <s v="Rizki Istiqomah"/>
        <s v="Ucchy Khazus"/>
        <s v="Sai 93"/>
        <s v="Ahmad Ropi"/>
        <s v="Agunk Bakar"/>
        <s v="Black Owl"/>
        <s v="Anantadw"/>
        <s v="Black Dragon"/>
        <s v="Jandres Mautang"/>
        <s v="Huang Toto"/>
        <s v="Doni Ristiawan"/>
        <s v="Bagus Sukar Manto"/>
        <s v="Sidik Waskito"/>
        <s v="Jahra Aulia Fattiha"/>
        <s v="Xomar Tea"/>
        <s v="Arsyal Danu Firmansyah"/>
        <s v="Irapurnomo Sasi"/>
        <s v="Abdul Majid"/>
        <s v="Joseph Khorniawan"/>
        <s v="Muhammad Reyhan"/>
        <s v="Mi 5Aselole"/>
        <s v="Inojo148"/>
        <s v="Andri Black"/>
        <s v="Setyo Panji Pratama X Tkj"/>
        <s v="Jack _85"/>
        <s v="Andy Nazry"/>
        <s v="Johny Halim"/>
        <s v="Gm Mechanic"/>
        <s v="Aulia Nazzhuro"/>
        <s v="Aly Malyk"/>
        <s v="Dini Findiyani"/>
        <s v="Reo Taruna Perdana"/>
        <s v="Nova Dsany"/>
        <s v="Ali Wafa"/>
        <s v="Mbelizz Cung"/>
        <s v="English Hadaya"/>
        <s v="Rahman Sudiro Ambiantoro"/>
        <s v="Aris Prasetyo"/>
        <s v="Irma Wati"/>
        <s v="Evan Ritan"/>
        <s v="Moena Muntux"/>
        <s v="Yeti Kusmayanti"/>
        <s v="Syafinna Rahmadhita"/>
        <s v="Fanny Virgina"/>
        <s v="Pinkan Andriani"/>
        <s v="Muchamad Rusli"/>
        <s v="Herry Juanda"/>
        <s v="Riska Yanti"/>
        <s v="Adjie Saxty"/>
        <s v="Kisah Pujangga"/>
        <s v="Letto Ponsel"/>
        <s v="Saaman Nofianto"/>
        <s v="Indira Fadia"/>
        <s v="Melati Putri"/>
        <s v="Maximilian Wijaya"/>
        <s v="Yusuf Afzainizam"/>
        <s v="Satrio Widodi"/>
        <s v="Walid Alhasbi"/>
        <s v="Ipan Sutrisna"/>
        <s v="Kim Fatin"/>
        <s v="Ferdi"/>
        <s v="Harni Ati"/>
        <s v="Fiqri Maulana"/>
        <s v="Bgxs Z"/>
        <s v="Rindu Order"/>
        <s v="Robbi Kuswara"/>
        <s v="Aris Alki"/>
        <s v="Dewi Finka"/>
        <s v="Latun Cubek"/>
        <s v="Andika Bagus"/>
        <s v="Farida Mae"/>
        <s v="Esti Ratnasari"/>
        <s v="Nurulhidayati123 Hidayati"/>
        <s v="Erikaã¤Â½ÂÃ¨Â€”Â¤"/>
        <s v="The Thunder Z"/>
        <s v="Mas Masan"/>
        <s v="Jupari Azzah"/>
        <s v="Sur Yono"/>
        <s v="Boink 87"/>
        <s v="Firnanda Dani"/>
        <s v="John Wody"/>
        <s v="Tri Bibit"/>
        <s v="Ahmad Azizi"/>
        <s v="Dody Kurniawan"/>
        <s v="I Putu Agus Candra Ariawan"/>
        <s v="Navia A."/>
        <s v="Uci Sapi"/>
        <s v="Miftakhul Huda"/>
        <s v="Satya Irham Xii Ips 1 [33]"/>
        <s v="Jihan Nabila"/>
        <s v="Tarjuki Tardi"/>
        <s v="Aldi Nurpuadi"/>
        <s v="Surya Gading"/>
        <s v="08_Muhamad Muki Mudin"/>
        <s v="Martino Putranto"/>
        <s v="Donni Ardiandra"/>
        <s v="Ahmad Syarifuddin"/>
        <s v="Ã˜Â§Ã˜Â¨Ã˜Â¯Ã˜Â§Ã™Â€Žã˜Â±Ã˜Â­Ã™Â€¦"/>
        <s v="Nur Fitriani"/>
        <s v="Idwan Adiyantoro"/>
        <s v="Nub Gaming"/>
        <s v="Ojandsquad Ny"/>
        <s v="Hadi Iqram"/>
        <s v="Alifah Nh"/>
        <s v="Tpg Channel"/>
        <s v="Nendi Hasim"/>
        <s v="Syauqi Berbakti"/>
        <s v="Eko Dwi"/>
        <s v="Rudi Hermawan"/>
        <s v="Bos Koplak"/>
        <s v="Suhodo Maksum"/>
        <s v="Aa Roby"/>
        <s v="Maulana Saidih"/>
        <s v="M_3Jyby Prdsakuradefwang"/>
        <s v="Umratil Umratil"/>
        <s v="Yahya Rusdiansyah"/>
        <s v="Techno Game12"/>
        <s v="Bukan Siapa2"/>
        <s v="Novi Setiani"/>
        <s v="Moch Firmansyah"/>
        <s v="Mata Ayip Peli Uyip"/>
        <s v="Utie Alief"/>
        <s v="Ilham Firdaus"/>
        <s v="Tian Subastian"/>
        <s v="Muhammad Akbar"/>
        <s v="Raja Queen Putri"/>
        <s v="A Hardian"/>
        <s v="Prasetia15"/>
        <s v="Akbar Fadillah"/>
        <s v="Irwan Ramadhan"/>
        <s v="Hanes Huang"/>
        <s v="Rudi Harles Simanjuntak"/>
        <s v="Yudi Bduy"/>
        <s v="Edward Kilat"/>
        <s v="Fahim Ibnu Malik"/>
        <s v="Nadia Aulia"/>
        <s v="Imameira Enha"/>
        <s v="Danang Hadi"/>
        <s v="Jenang Gempung"/>
        <s v="Agus Supriyadi"/>
        <s v="Yeni Nuraeni"/>
        <s v="Isna Imroatul Mufidah"/>
        <s v="Alfian Fadli"/>
        <s v="Lukman Andriyansyah"/>
        <s v="Chix Zhu"/>
        <s v="Indra Iskandar"/>
        <s v="Rado Arian"/>
        <s v="Nurul Ulya"/>
        <s v="Didik Syamsudin"/>
        <s v="Rusmiati Istriq"/>
        <s v="Juanda Rohman"/>
        <s v="Abdi Mentos"/>
        <s v="Yanti Ramelan"/>
        <s v="Habib Burrahman"/>
        <s v="Risqi Cf"/>
        <s v="Davis Unitedarmy"/>
        <s v="Deyu Prakorso"/>
        <s v="Nabilla Rizkia Ranati"/>
        <s v="Jeni Jaenudin"/>
        <s v="Nurul Aini"/>
        <s v="Ahmad Azizi Zs"/>
        <s v="Arif Aditama"/>
        <s v="Adi Suryadi"/>
        <s v="Kismatil Ummah"/>
        <s v="Budi Asep"/>
        <s v="Boyak Cell12"/>
        <s v="Hendra Wanto"/>
        <s v="Hilman Rafi"/>
        <s v="Rahmat Eko Saputra"/>
        <s v="Ahmad Fendi"/>
        <s v="Moch Irfan"/>
        <s v="Winston Morris"/>
        <s v="Julio Andy"/>
        <s v="Fhina Princess"/>
        <s v="Danny Oktariyanto"/>
        <s v="Chavin Gaming"/>
        <s v="Muhammad Hermawan"/>
        <s v="Mang Oji"/>
        <s v="Budi Ari"/>
        <s v="Carel Cbr"/>
        <s v="Dearlife"/>
        <s v="Aditya Galih"/>
        <s v="Khalfani Dewa Haryaka"/>
        <s v="Sabituddin Bigbang"/>
        <s v="Syaiful Bahri"/>
        <s v="Juliano Hardian"/>
        <s v="Rizal Ar"/>
        <s v="Imassaadah"/>
        <s v="Ima Maghfiroh"/>
        <s v="Re Arhio Channel"/>
        <s v="Kha Official"/>
        <s v="Loys Terate"/>
        <s v="Naori Uchiha"/>
        <s v="Surya Junaedi"/>
        <s v="Pipin24 Zaen24"/>
        <s v="Gdent Gallery"/>
        <s v="Brewew Lah"/>
        <s v="Dadan R"/>
        <s v="Viral Wae82"/>
        <s v="Ruslan Priyadi"/>
        <s v="Daffa Yudono"/>
        <s v="Your Lucky Day"/>
        <s v="Samud Al Fauzi"/>
        <s v="Charly Chaeruddin"/>
        <s v="Ru Ningsih"/>
        <s v="Nobaode"/>
        <s v="Wandi Pekalongan"/>
        <s v="Akbar Ramdani"/>
        <s v="Hezkie Lelucky"/>
        <s v="Rahmat Ardiyan Sulistiyo"/>
        <s v="Eka Firdin"/>
        <s v="Nita Yunita"/>
        <s v="Tata Layla D"/>
        <s v="Mamet Bz"/>
        <s v="Nabil Hasan"/>
        <s v="Fathira Rzky"/>
        <s v="Achmad Maulana"/>
        <s v="Mukhamad Rosul"/>
        <s v="Murte Murte"/>
        <s v="Dita Mariana Agustine"/>
        <s v="Mdw Official"/>
        <s v="Arry Bae"/>
        <s v="Nadi Nadi"/>
        <s v="Febri Andi Gultom"/>
        <s v="Mu'Amar Yaro Huda"/>
        <s v="Wanel Sitompul"/>
        <s v="Ahmad Fadel"/>
        <s v="Bimo Prasetiyo"/>
        <s v="Dera Isnoria"/>
        <s v="Iqbal Mahendra Prayoga"/>
        <s v="Amal Btg"/>
        <s v="Urif Nur Susanto"/>
        <s v="Joko Supardi"/>
        <s v="Eza Akbar"/>
        <s v="Wirawanvlog"/>
        <s v="Joshua Obama"/>
        <s v="Haris Mantoro"/>
        <s v="Kucluk Gaming"/>
        <s v="Herm Anto"/>
        <s v="Deno Ardian"/>
        <s v="Indra Prayogo"/>
        <s v="Zellynapespen Zellynapespen"/>
        <s v="Batigol Castle Crush"/>
        <s v="Rizky Rizky"/>
        <s v="Intan Jauhari"/>
        <s v="Darto Ibra"/>
        <s v="Yazid Muhammad"/>
        <s v="Husain Mubarok"/>
        <s v="Jaenal Aripin"/>
        <s v="Siti Rosalina"/>
        <s v="Kacung Sugeh"/>
        <s v="Andi Ammar"/>
        <s v="Agung Nurul"/>
        <s v="Ngkuy Opisial"/>
        <s v="Rizal Wahyu Hidayat"/>
        <s v="Joena Eddy"/>
        <s v="Muhammad Sulistiyawan"/>
        <s v="Ismi Tri Agustina"/>
        <s v="Brownies Cake"/>
        <s v="Harditia 3Za"/>
        <s v="Sugeng Ahmad"/>
        <s v="Agni Dea Perkasa"/>
        <s v="Singa Malam"/>
        <s v="Fajar Pamungkas"/>
        <s v="Muhammad Harit"/>
        <s v="Adlin Farell"/>
        <s v="Aprizal Yusuf Channel"/>
        <s v="Zulfikar Radit"/>
        <s v="A. Rachmadani"/>
        <s v="Rayhan Adc"/>
        <s v="Pedot Brigash Chanel"/>
        <s v="Firdaus Pratama"/>
        <s v="Mbah Tosan 726"/>
        <s v="Yang Riza"/>
        <s v="Muhammad Basar"/>
        <s v="M. Adika Febriansyah"/>
        <s v="Syarif Hidayatullah"/>
        <s v="Yusuf Dwi Yulianto"/>
        <s v="Malik Ridwan"/>
        <s v="Ade Saiful"/>
        <s v="An An"/>
        <s v="Ot Nay"/>
        <s v="Muhammad Yusri"/>
        <s v="Frisca Merdiyanti"/>
        <s v="Putri Kharismaturrosyiidah"/>
        <s v="Muhammad Saefuddin"/>
        <s v="Irfan Afiridianto"/>
        <s v="Ronny Hidayat"/>
        <s v="Sayyid Bahasyim"/>
        <s v="Dhaffa Alfahrizi"/>
        <s v="Anjas Maulana"/>
        <s v="Aira Mila"/>
        <s v="Taqiyah Azah"/>
        <s v="Anggry Betra Nata"/>
        <s v="Nurhakiki"/>
        <s v="29. Natal"/>
        <s v="Satria Boz"/>
        <s v="Terune Nyalah"/>
        <s v="Gadis Susana"/>
        <s v="Wigi Suntara"/>
        <s v="Mohaamad Rizki"/>
        <s v="Adi Adrian"/>
        <s v="A I"/>
        <s v="Sandy Profit Hunter"/>
        <s v="Ahmad Fatoni"/>
        <s v="Devina Chrissa"/>
        <s v="Lugune Baewis"/>
        <s v="Rendy"/>
        <s v="Alif Muhtadee"/>
        <s v="Gifari Samudra"/>
        <s v="Ikma"/>
        <s v="Jambul 12"/>
        <s v="Deva Ariffiandi"/>
        <s v="Iin Fajrianto"/>
        <s v="Toto' Unt"/>
        <s v="Yudha Ksma"/>
        <s v="Bagus Oka Surya"/>
        <s v="Muhex Pht"/>
        <s v="Khairil_Ar"/>
        <s v="Ball'S Life"/>
        <s v="Rizky Kusuma"/>
        <s v="Wartono No"/>
        <s v="Dede Setiawan"/>
        <s v="Ini Gua"/>
        <s v="Acink'Z Sempalkateph"/>
        <s v="Iwan Kurniawan"/>
        <s v="Ricco Yuda"/>
        <s v="Jerry Angkobus"/>
        <s v="Kertin Ningsih"/>
        <s v="Udzin Hazard"/>
        <s v="Rafyal Dwi Putra"/>
        <s v="I Made Dandi"/>
        <s v="Baiq Haerunnisa"/>
        <s v="Priima Miilala"/>
        <s v="Saputra Ryan"/>
        <s v="Gustina Rahayu"/>
        <s v="Akbar Barsyah77"/>
        <s v="Adam Aji Prastyo"/>
        <s v="Arizka 12"/>
        <s v="Afdal Ramadia"/>
        <s v="Qodrat Nurc"/>
        <s v="21 / 8F I Putu Bagus Arya Basunjaya"/>
        <s v="Antini Supri"/>
        <s v="Hidayatul Iman"/>
        <s v="Warsiedie Bodonk"/>
        <s v="Zain Zetha"/>
        <s v="Moh Rifan F M"/>
        <s v="Grace Posumah"/>
        <s v="Nuhaliza _"/>
        <s v="Uno Wan"/>
        <s v="Mamet Riyadi"/>
        <s v="Sang Hiang"/>
        <s v="Ardana Putu"/>
        <s v="Ya Sofi"/>
        <s v="Mochammad Ridwan"/>
        <s v="Jko Purnomo"/>
        <s v="Ara Cakra"/>
        <s v="Masrizal Rizal"/>
        <s v="Ghal Official Account"/>
        <s v="Muhammad Ishaq Al Guzman"/>
        <s v="Trifena Arni Suci Hapsari"/>
        <s v="Aray Aray"/>
        <s v="Abit Abit"/>
        <s v="Angell Rumengan"/>
        <s v="Sigit Sugara"/>
        <s v="Maria Indah Lestari"/>
        <s v="Saepudin 301"/>
        <s v="Anto Wijaya"/>
        <s v="Chandra Adjah"/>
        <s v="Lacta Shatya Osha"/>
        <s v="Lena Febriani"/>
        <s v="Echa Swety"/>
        <s v="Komar Uddin"/>
        <s v="Dunia Online"/>
        <s v="Rahmad Hanafie"/>
        <s v="Muhammad Imam Fadil T"/>
        <s v="Yusandi Afizena"/>
        <s v="Gita Fitri"/>
        <s v="Eris Riswandi"/>
        <s v="Iron Man"/>
        <s v="Zul Fikar"/>
        <s v="Laras Sejati"/>
        <s v="Oki Setiawan"/>
        <s v="Ari Meidayanti"/>
        <s v="Datamso Veriska"/>
        <s v="Ferry Sutan"/>
        <s v="Agda Saputra"/>
        <s v="Narimarima _13"/>
        <s v="Nayla"/>
        <s v="Atawolo Yoseph"/>
        <s v="Dinda Nda"/>
        <s v="Adi Hulk"/>
        <s v="Sauf Ramadani"/>
        <s v="Hari Santoso"/>
        <s v="Indra 78"/>
        <s v="Isnaini Azzahra"/>
        <s v="Naara M"/>
        <s v="Itha Indiana"/>
        <s v="Allaroundus Still"/>
        <s v="Aku. Inatuz Zahroh"/>
        <s v="Merry Kristina Dachi"/>
        <s v="Aang Kurni"/>
        <s v="Ghost Cyber"/>
        <s v="Ã¢Â‚¬Â¢ Senpai Ã¢Â‚¬Â¢"/>
        <s v="Rezhasck Official"/>
        <s v="Nobel Dj"/>
        <s v="Beni Murdiyanti"/>
        <s v="M Yusuf Reza Ashari"/>
        <s v="Ghizca Swastika"/>
        <s v="Akhmad Faozan"/>
        <s v="Rafi Dwi Ramadhan"/>
        <s v="Hendra Suganda"/>
        <s v="Thalia Halimah"/>
        <s v="Jenriko Sitinjak"/>
        <s v="Yudha Muhammad"/>
        <s v="Nas Rullah"/>
        <s v="Sami'An Zahri"/>
        <s v="Daim Wonx"/>
        <s v="Adel Arrumman"/>
        <s v="New Berkah Official"/>
        <s v="Sahrain Djakaria"/>
        <s v="Gientae Marfales"/>
        <s v="Catur Juliyanto"/>
        <s v="D Priy"/>
        <s v="Mira Ajaah"/>
        <s v="Muhammad Aji"/>
        <s v="Muh Syaifulloh"/>
        <s v="Rasyid Akmal"/>
        <s v="Ohan Rohanda"/>
        <s v="Ernawati Wati"/>
        <s v="Gema Prajna Tri Pamungkas"/>
        <s v="Wisam Dita"/>
        <s v="Bocah Gaming"/>
        <s v="Dava Fadel Arfansyah"/>
        <s v="Aulia Lia"/>
        <s v="Ravqi Deel"/>
        <s v="Dadi Priana"/>
        <s v="Viany Juliana Seran"/>
        <s v="Hadi Pajawan"/>
        <s v="Tania Maharani"/>
        <s v="Chan Shin Liang"/>
        <s v="Oky Arwanto"/>
        <s v="Fajar Siregar"/>
        <s v="Kura Kelantang"/>
        <s v="Nanang Hermawan"/>
        <s v="Mbah Nyumput"/>
        <s v="Umar Yono"/>
        <s v="Edi Supriadi Supri"/>
        <s v="Nur Rohman"/>
        <s v="Muhammad Zakwan"/>
        <s v="Jeje Lynn"/>
        <s v="Abdurrahman Tralala"/>
        <s v="Arsan Puput"/>
        <s v="Agung Heru Gs"/>
        <s v="Hesty Togatorop"/>
        <s v="Gustiliant"/>
        <s v="Hen Wjy"/>
        <s v="Syariyani Ardhy"/>
        <s v="Bulan Vip"/>
        <s v="Rendy Airlangga"/>
        <s v="Wiratama Channel"/>
        <s v="Dwiky"/>
        <s v="Amanda Afa"/>
        <s v="Veny Ananda"/>
        <s v="Joko Ae"/>
        <s v="Rizka Aditiya"/>
        <s v="Boss_Oman"/>
        <s v="Ridwan Maulana"/>
        <s v="Sinar Cell"/>
        <s v="Ganyong Clavers"/>
        <s v="Muhammad Fahrul Ulum"/>
        <s v="Eri Kristanto"/>
        <s v="Novi Alfiani"/>
        <s v="Khairun Nisa"/>
        <s v="Aditya Kurniawan"/>
        <s v="Rino Setiawan"/>
        <s v="Manatu Atu Online Shop"/>
        <s v="Dedrakor Tube"/>
        <s v="Super Shoot"/>
        <s v="Yuda Ades"/>
        <s v="Smile So Good"/>
        <s v="Khatib Nur Garus"/>
        <s v="Choirul Mukminin"/>
        <s v="Faridatul Khusna"/>
        <s v="Dandi Dito"/>
        <s v="Tyaga Dahayu"/>
        <s v="Sun Delivery"/>
        <s v="So Sweat"/>
        <s v="Ferdy Medjaya"/>
        <s v="Muhammad Rafli"/>
        <s v="Dhita Jaya"/>
        <s v="F. Wullan"/>
        <s v="Agasha Boen"/>
        <s v="Herman Satya Adi"/>
        <s v="Edo Pratama"/>
        <s v="Dedi Mulyawan"/>
        <s v="Deri Adrian"/>
        <s v="Wibowo Trisno"/>
        <s v="Bang Jo"/>
        <s v="Marudut Gunawan"/>
        <s v="Bambang Hermawan"/>
        <s v="Echa Intan"/>
        <s v="Yraisy Mcqueen"/>
        <s v="Kedai_Coffee_Din"/>
        <s v="Mas Opick"/>
        <s v="Ahmad Nur Kholis"/>
        <s v="Ilham Colo"/>
        <s v="Novia Sitorus"/>
        <s v="Djo Jo"/>
        <s v="Tatang Arhata"/>
        <s v="Ven Reiven"/>
        <s v="Anissa Nur Melinda"/>
        <s v="Ucu Mustoharoh"/>
        <s v="Azzahra Hanum"/>
        <s v="Um Sonhaji"/>
        <s v="Ari Anggara"/>
        <s v="Jengklong City"/>
        <s v="Noval Selamet"/>
        <s v="Pian Ardiansyah"/>
        <s v="Catra Cadudasa"/>
        <s v="Agus Yuliandra"/>
        <s v="Nur Hidayati"/>
        <s v="Teguh Setyanto"/>
        <s v="Lani Novriantho"/>
        <s v="Koeching Oyen"/>
        <s v="Refan 1998"/>
        <s v="Back To Nature"/>
        <s v="Julian Haloho"/>
        <s v="Abuey 30"/>
        <s v="Irwan Cm"/>
        <s v="Jamal Mirdad"/>
        <s v="Alfita Norma"/>
        <s v="Def Channel"/>
        <s v="Agus Triyanto"/>
        <s v="Finn Simo Hayha"/>
        <s v="Mns"/>
        <s v="Sahat H Lubis"/>
        <s v="Abu Adzra"/>
        <s v="Agus Bule"/>
        <s v="Vera Puspi"/>
        <s v="Galang Dp"/>
        <s v="Alfi Pangestu"/>
        <s v="Ajat Sudrajat"/>
        <s v="Muhammad Djikri Fadhilah"/>
        <s v="Dewi Yulianti"/>
        <s v="Kadek Wira Santika"/>
        <s v="The Bubbles"/>
        <s v="Dyan Desrianty"/>
        <s v="Sello Beramasta"/>
        <s v="Maxi Symanuar Ishak"/>
        <s v="Yehezkiel"/>
        <s v="Candaran Wisnu"/>
        <s v="Patrisia Tbn"/>
        <s v="Dwi Rahayu Ningsih"/>
        <s v="Ngurah Suryanegara"/>
        <s v="Abie Rfnh"/>
        <s v="Made Widana"/>
        <s v="Jepri Ana"/>
        <s v="Jasmin Nur Amanda"/>
        <s v="Frida Tutu"/>
        <s v="Oka Pastika"/>
        <s v="Fadil Muhammad"/>
        <s v="Achmad Fadjri"/>
        <s v="Ariadi"/>
        <s v="Natalia Cristauli Lubis"/>
        <s v="Hendry Wu"/>
        <s v="Fian Dwi Lesmono"/>
        <s v="Aarif Sn"/>
        <s v="Dhaeng Dhalle17"/>
        <s v="Arul Arul"/>
        <s v="Zaki Thalib"/>
        <s v="Difa Laudza D"/>
        <s v="Lutfiana Ayuningtyas"/>
        <s v="Muldi Setiawan"/>
        <s v="Vadhry Bantayan"/>
        <s v="Putu Ariani"/>
        <s v="Alpian Channel"/>
        <s v="Aji 26"/>
        <s v="Gu Feing"/>
        <s v="Bima Ws"/>
        <s v="Eyza Bahana"/>
        <s v="Ã£ÂÂ€Žã£ÂÂ€Šã£ÂÂ€¢"/>
        <s v="Leonardo Frengky"/>
        <s v="Irvan Ade"/>
        <s v="Rivals"/>
        <s v="Nimo Dj"/>
        <s v="Alfian Permata"/>
        <s v="Arum Azahra"/>
        <s v="Tutorial Singkat"/>
        <s v="Reyhesfa Balhendinho"/>
        <s v="Israel Noman"/>
        <s v="Andrew"/>
        <s v="Isnan Muslimin"/>
        <s v="Ulil Albab"/>
        <s v="Endi Sugandi"/>
        <s v="Rika Endari"/>
        <s v="Abi Azis"/>
        <s v="Yusup Supriadi"/>
        <s v="June Reizha"/>
        <s v="Andri Meidianto"/>
        <s v="Aura Kirana"/>
        <s v="Ari Ahmad"/>
        <s v="Salim Bae Oug"/>
        <s v="Andri Fh"/>
        <s v="Indah Ponsel"/>
        <s v="Tri Sulistiyowati"/>
        <s v="Viny Vhiny"/>
        <s v="Fauzy Nafarin"/>
        <s v="Triani _Agustina95"/>
        <s v="Agung Fadilah Rizki"/>
        <s v="Kikii Yubikiri"/>
        <s v="Ahmad Jaenudin"/>
        <s v="Rian Murdi"/>
        <s v="Surya Hadi Syahputra"/>
        <s v="Egg All"/>
        <s v="Todi Kusuma"/>
        <s v="Muhammad Raihan Lubis"/>
        <s v="Captain Morgan"/>
        <s v="Rendy Andriansyah"/>
        <s v="Riski Romadhon"/>
        <s v="Shireen Safia Azhar"/>
        <s v="Yoel Hutagalung"/>
        <s v="Hanafi Nur Obiyansa"/>
        <s v="Hendro Papilaya"/>
        <s v="Siti Maesaroh"/>
        <s v="Husnul Fikri Simatupang"/>
        <s v="Andhika Fauzi Saepudin"/>
        <s v="Dewi Kim"/>
        <s v="Rizky Nurhandy"/>
        <s v="Nurman Susanto"/>
        <s v="George Everest Evan"/>
        <s v="Bagus Suluharto"/>
        <s v="Remonstar Official"/>
        <s v="Taufik Akbar"/>
        <s v="Sahrull 12"/>
        <s v="Adi Gunadi"/>
        <s v="Mohammad Nashrullah"/>
        <s v="Halim Putra28"/>
        <s v="Mardiansyah Putra"/>
        <s v="Yazh Nugraha"/>
        <s v="Khien Chn"/>
        <s v="Fahreza Liansyah"/>
        <s v="Ricky Snapshot"/>
        <s v="Nnztan_"/>
        <s v="Yxgx Hrmwn"/>
        <s v="Shuba Giyok"/>
        <s v="Sidiq Rahman"/>
        <s v="Mugi Heru"/>
        <s v="Yudhistira Al Jabbar"/>
        <s v="Isnaini Isnaini"/>
        <s v="Captainjack"/>
        <s v="Romadhon D. Prakoso"/>
        <s v="Feity Likuayang"/>
        <s v="Doi Kurniawan"/>
        <s v="Budi Ms"/>
        <s v="Fridha Masya"/>
        <s v="Cak Hari"/>
        <s v="Jeslyn Dhini Manalu"/>
        <s v="Wahyu Joko"/>
        <s v="Alipok"/>
        <s v="Ferdian Pratama"/>
        <s v="Muhammad Rhama"/>
        <s v="Wanda Safi'I"/>
        <s v="Arman 65"/>
        <s v="Erni Eliyani"/>
        <s v="Mart Dian"/>
        <s v="Ezales_Rzl"/>
        <s v="Tansu Simbolon"/>
        <s v="Milla Resh"/>
        <s v="Rara Fahira An Nuur"/>
        <s v="Faik Abdillah"/>
        <s v="Abdillah Alfarizi"/>
        <s v="Joni Fawarman"/>
        <s v="Ade Febrian"/>
        <s v="Urudin Rudi"/>
        <s v="Aris Riswanto Djojohadikusumo"/>
        <s v="Alwi Setiawan"/>
        <s v="Dãžâ±V"/>
        <s v="Guntur Aristoni"/>
        <s v="Ardo Simanungkalit"/>
        <s v="Retno Wahyu Ningrum"/>
        <s v="Mouz Zanki"/>
        <s v="Fajar Nurkholis"/>
        <s v="Andremiky Gantengjokermantapkali"/>
        <s v="Omen Rohman"/>
        <s v="Ary Tomket"/>
        <s v="Anisa Fitry"/>
        <s v="Vina Oktaviani"/>
        <s v="Rusmayadi Mahrim"/>
        <s v="Benny Ka"/>
        <s v="Hilman A"/>
        <s v="Joko Purnaning Woko"/>
        <s v="Faisal Alhaddad"/>
        <s v="Fajar Flava"/>
        <s v="Zahra Humairo"/>
        <s v="Zona Aman"/>
        <s v="Kopana Didik Harianto"/>
        <s v="Rengga Bm"/>
        <s v="Ambon Jylo"/>
        <s v="_Shintyaa 14"/>
        <s v="Ary Ajus"/>
        <s v="Mathers Ellen"/>
        <s v="Dedi Setiawan"/>
        <s v="Indra Hadi"/>
        <s v="Player Noob"/>
        <s v="Ade Ridwan"/>
        <s v="Pak Pely"/>
        <s v="28_Sefira Intan Oktavioni 8H"/>
        <s v="E12Kp Eko"/>
        <s v="Yuli Yuli"/>
        <s v="Fidyastya"/>
        <s v="Muhammad Wahyudin"/>
        <s v="Bang Pul"/>
        <s v="Sukri Vespa"/>
        <s v="Priyanto Yanto"/>
        <s v="Adetaesa Diyan Degananda"/>
        <s v="Rome Sbastian"/>
        <s v="Ganar Dito"/>
        <s v="Papa Dinda"/>
        <s v="Al Jauziy"/>
        <s v="Agus Pande"/>
        <s v="Ady Tm"/>
        <s v="Abdul Rahmat"/>
        <s v="Wanda Apriliana"/>
        <s v="Andi Liana"/>
        <s v="Muhammad Taufik"/>
        <s v="Mhmmd Zal"/>
        <s v="Muh Fathin"/>
        <s v="Rilex Band"/>
        <s v="Mhassanal Bolkiah"/>
        <s v="Akbar Ardi"/>
        <s v="Anna Cece"/>
        <s v="Ummi Galang"/>
        <s v="Haidar Raabih"/>
        <s v="Ann"/>
        <s v="Agung Syaifudin"/>
        <s v="Muhammad Rizqi Aprilia"/>
        <s v="Aldan Sunarya"/>
        <s v="Arif Munandar"/>
        <s v="Pak Dee"/>
        <s v="Arif Jack"/>
        <s v="Cik Aan Mad"/>
        <s v="Joe Ank"/>
        <s v="Edy Rosiandi"/>
        <s v="Nafitz Chanel"/>
        <s v="Dewa Pindi"/>
        <s v="Dezie Widiantoro"/>
        <s v="Faruq Donahue"/>
        <s v="Aris Fadillah Yuliawan"/>
        <s v="Dedi Elwanto"/>
        <s v="Moelyadi"/>
        <s v="Gilang Yusuf Gumelar"/>
        <s v="Septiana Mona"/>
        <s v="Nounna Tv"/>
        <s v="Salsabila Zahratul"/>
        <s v="Silvia Eva"/>
        <s v="Blegedes Team"/>
        <s v="Argaming"/>
        <s v="Daffario Raissadewa"/>
        <s v="Anis Sitiaisyah"/>
        <s v="Harris Maryanto Andriansyah"/>
        <s v="Robert Budianto"/>
        <s v="Sad Boy"/>
        <s v="Danang Yoga"/>
        <s v="Zulfan Achmad Rifani"/>
        <s v="Hadi Mustamin"/>
        <s v="Vicky Sutandi"/>
        <s v="Leni Nursela"/>
        <s v="Marlaba Torus"/>
        <s v="Reza Gaming 23"/>
        <s v="Yudi Gumbira"/>
        <s v="Layli Anggraini"/>
        <s v="Magda Rahardjo"/>
        <s v="Rosalia Pesik"/>
        <s v="Santri Edan"/>
        <s v="Taufikurrohman"/>
        <s v="Sukron Hamdani"/>
        <s v="Naa Inn"/>
        <s v="Asmif Jr"/>
        <s v="Maz_ Thon"/>
        <s v="Firmann Tegar"/>
        <s v="Azahra Salsabila"/>
        <s v="Fariel Gandi"/>
        <s v="Martin Winartta"/>
        <s v="Anugrah Tenrigangka"/>
        <s v="S-1 Xli Ltt P Indra Wijayanto"/>
        <s v="Meliana Inggrid"/>
        <s v="Free Spirit"/>
        <s v="Mas Bana"/>
        <s v="Aulia Nur"/>
        <s v="Anisa Nurul Duha"/>
        <s v="Sandi Saputra"/>
        <s v="Abriawan Tinus"/>
        <s v="Abhieza Raditya"/>
        <s v="Zgirlss"/>
        <s v="M Arief"/>
        <s v="Muhammad Zaki"/>
        <s v="Njita Njie"/>
        <s v="Luqman Wezt Tobat"/>
        <s v="Ericson S.P"/>
        <s v="Mr Abing"/>
        <s v="Al Khoerul"/>
        <s v="Yusri Mahesa"/>
        <s v="Fadil Fadilah"/>
        <s v="Lutfi Akbar Maulana"/>
        <s v="Agus Saripudin"/>
        <s v="Wahyu Eka Setyawati"/>
        <s v="Muslim Nyonk"/>
        <s v="Andre Wibisono"/>
        <s v="Nadita Masayu A.M"/>
        <s v="Irkham"/>
        <s v="Kevin Daved"/>
        <s v="Chun Wt"/>
        <s v="Melly Elsiana"/>
        <s v="Antonius Aldo"/>
        <s v="Sagara Sandyakalla"/>
        <s v="Real De Cynthia"/>
        <s v="Haris Fadil"/>
        <s v="Allaric Liko Tamrin"/>
        <s v="Amy Bhudy Prasetya"/>
        <s v="Pulung Sutrisno"/>
        <s v="Firdaus Margo"/>
        <s v="Bang Ao"/>
        <s v="Wahyu Gesti Rama"/>
        <s v="Yulia Purnamasari"/>
        <s v="Lutfi Arbha Hidayat"/>
        <s v="Angga Praditya"/>
        <s v="Alia Miranti"/>
        <s v="Asep Dani"/>
        <s v="Ni Kadek Ayu Suandewi"/>
        <s v="Bell Bella"/>
        <s v="Jericho Rico"/>
        <s v="Andi Minang"/>
        <s v="Handy Noviardana"/>
        <s v="Ria Sintya Wati"/>
        <s v="Dothat That"/>
        <s v="Mugi Yanto"/>
        <s v="Matex Pro"/>
        <s v="Noah Darmawan"/>
        <s v="Giri Tani"/>
        <s v="Dendy Heriyanto"/>
        <s v="Bang Bahri"/>
        <s v="Fahmi Dahlan A"/>
        <s v="Fadlia Fanie Firzana"/>
        <s v="Vicka Putri"/>
        <s v="Wikal Zulfikar"/>
        <s v="Alimah Suriatmi"/>
        <s v="I'M Away"/>
        <s v="3 Hanz"/>
        <s v="Adhitya Rara"/>
        <s v="Fikri Athallah"/>
        <s v="Mhmmd Hafiz H"/>
        <s v="Andini Mutia"/>
        <s v="Rahmat Gani Saputra"/>
        <s v="Javanda Husain"/>
        <s v="Ragista Nobita"/>
        <s v="Wahyudi"/>
        <s v="Adya Pranaja"/>
        <s v="Nr. Mila"/>
        <s v="Nenden Dewianti"/>
        <s v="Endang Hidayat"/>
        <s v="Robby Annas Nur Hakiki"/>
        <s v="Zhepy Ganteng"/>
        <s v="Anggito Abimanyu"/>
        <s v="Dian Murni"/>
        <s v="Simoel02 Channel"/>
        <s v="Afrizal Fakboy"/>
        <s v="Shoffan Rahman"/>
        <s v="Sani Arsi"/>
        <s v="Tulisan Alam"/>
        <s v="Munadhi"/>
        <s v="Ibe Official"/>
        <s v="Fina Fitri Fauji"/>
        <s v="Arya Yan"/>
        <s v="Aleevana Allard"/>
        <s v="Mydan Syakur"/>
        <s v="Samsul Sam"/>
        <s v="Herman Sudirman"/>
        <s v="Roman Hakim"/>
        <s v="Aldian Hidayatulloh"/>
        <s v="Adjie Septiawan"/>
        <s v="Anak Ntb"/>
        <s v="Jow Lodong"/>
        <s v="Jack Ajj"/>
        <s v="Ahmad Jaelani"/>
        <s v="Zeazara 22"/>
        <s v="Sifa Cute"/>
        <s v="Mohamad Dzaki Pratama"/>
        <s v="Sabri Sabi"/>
        <s v="Aditama Nugroho"/>
        <s v="Flexi"/>
        <s v="Yudi Reynold"/>
        <s v="Anak Ayah"/>
        <s v="Imam Ali Zainal Abidin"/>
        <s v="Eko Purnomo"/>
        <s v="Teszya"/>
        <s v="Poyothok Poyo"/>
        <s v="Santi San"/>
        <s v="Muhammad Zaenuddin"/>
        <s v="Trz Crouz"/>
        <s v="Rosdiana Ros"/>
        <s v="Febri Kristy"/>
        <s v="Pengguna Google"/>
        <s v="Muhamad Ibnu Hajar"/>
        <s v="Rio Fernando"/>
        <s v="Marzukdy Yudhie"/>
        <s v="Muhammad Ichbal"/>
        <s v="Tri Ulfhayanti"/>
        <s v="Ainun Nurmatin"/>
        <s v="Andri Iskandar"/>
        <s v="Atiqa Luna"/>
        <s v="Elvina Fhelichia.M"/>
        <s v="Mukhammad Luqman Iskhaq"/>
      </sharedItems>
    </cacheField>
    <cacheField name="Score" numFmtId="0">
      <sharedItems containsSemiMixedTypes="0" containsString="0" containsNumber="1" containsInteger="1" minValue="1" maxValue="5" count="5">
        <n v="4"/>
        <n v="1"/>
        <n v="5"/>
        <n v="2"/>
        <n v="3"/>
      </sharedItems>
    </cacheField>
    <cacheField name="Date" numFmtId="14">
      <sharedItems containsSemiMixedTypes="0" containsNonDate="0" containsDate="1" containsString="0" minDate="2021-11-18T00:00:00" maxDate="2022-02-12T00:00:00" count="86">
        <d v="2022-02-11T00:00:00"/>
        <d v="2022-02-10T00:00:00"/>
        <d v="2022-02-09T00:00:00"/>
        <d v="2022-02-08T00:00:00"/>
        <d v="2022-02-07T00:00:00"/>
        <d v="2022-02-06T00:00:00"/>
        <d v="2022-02-05T00:00:00"/>
        <d v="2022-02-04T00:00:00"/>
        <d v="2022-02-03T00:00:00"/>
        <d v="2022-02-02T00:00:00"/>
        <d v="2022-02-01T00:00:00"/>
        <d v="2022-01-31T00:00:00"/>
        <d v="2022-01-30T00:00:00"/>
        <d v="2022-01-29T00:00:00"/>
        <d v="2022-01-28T00:00:00"/>
        <d v="2022-01-27T00:00:00"/>
        <d v="2022-01-26T00:00:00"/>
        <d v="2022-01-25T00:00:00"/>
        <d v="2022-01-24T00:00:00"/>
        <d v="2022-01-23T00:00:00"/>
        <d v="2022-01-22T00:00:00"/>
        <d v="2022-01-21T00:00:00"/>
        <d v="2022-01-20T00:00:00"/>
        <d v="2022-01-19T00:00:00"/>
        <d v="2022-01-18T00:00:00"/>
        <d v="2022-01-17T00:00:00"/>
        <d v="2022-01-16T00:00:00"/>
        <d v="2022-01-15T00:00:00"/>
        <d v="2022-01-14T00:00:00"/>
        <d v="2022-01-13T00:00:00"/>
        <d v="2022-01-12T00:00:00"/>
        <d v="2022-01-11T00:00:00"/>
        <d v="2022-01-10T00:00:00"/>
        <d v="2022-01-09T00:00:00"/>
        <d v="2022-01-08T00:00:00"/>
        <d v="2022-01-07T00:00:00"/>
        <d v="2022-01-06T00:00:00"/>
        <d v="2022-01-05T00:00:00"/>
        <d v="2022-01-04T00:00:00"/>
        <d v="2022-01-03T00:00:00"/>
        <d v="2022-01-02T00:00:00"/>
        <d v="2022-01-01T00:00:00"/>
        <d v="2021-12-31T00:00:00"/>
        <d v="2021-12-30T00:00:00"/>
        <d v="2021-12-29T00:00:00"/>
        <d v="2021-12-28T00:00:00"/>
        <d v="2021-12-27T00:00:00"/>
        <d v="2021-12-26T00:00:00"/>
        <d v="2021-12-25T00:00:00"/>
        <d v="2021-12-24T00:00:00"/>
        <d v="2021-12-23T00:00:00"/>
        <d v="2021-12-22T00:00:00"/>
        <d v="2021-12-21T00:00:00"/>
        <d v="2021-12-20T00:00:00"/>
        <d v="2021-12-19T00:00:00"/>
        <d v="2021-12-18T00:00:00"/>
        <d v="2021-12-17T00:00:00"/>
        <d v="2021-12-16T00:00:00"/>
        <d v="2021-12-15T00:00:00"/>
        <d v="2021-12-14T00:00:00"/>
        <d v="2021-12-13T00:00:00"/>
        <d v="2021-12-12T00:00:00"/>
        <d v="2021-12-11T00:00:00"/>
        <d v="2021-12-10T00:00:00"/>
        <d v="2021-12-09T00:00:00"/>
        <d v="2021-12-08T00:00:00"/>
        <d v="2021-12-07T00:00:00"/>
        <d v="2021-12-06T00:00:00"/>
        <d v="2021-12-05T00:00:00"/>
        <d v="2021-12-04T00:00:00"/>
        <d v="2021-12-03T00:00:00"/>
        <d v="2021-12-02T00:00:00"/>
        <d v="2021-12-01T00:00:00"/>
        <d v="2021-11-30T00:00:00"/>
        <d v="2021-11-29T00:00:00"/>
        <d v="2021-11-28T00:00:00"/>
        <d v="2021-11-27T00:00:00"/>
        <d v="2021-11-26T00:00:00"/>
        <d v="2021-11-25T00:00:00"/>
        <d v="2021-11-24T00:00:00"/>
        <d v="2021-11-23T00:00:00"/>
        <d v="2021-11-22T00:00:00"/>
        <d v="2021-11-21T00:00:00"/>
        <d v="2021-11-20T00:00:00"/>
        <d v="2021-11-19T00:00:00"/>
        <d v="2021-11-18T00:00:00"/>
      </sharedItems>
      <fieldGroup par="15" base="2">
        <rangePr groupBy="months" startDate="2021-11-18T00:00:00" endDate="2022-02-12T00:00:00"/>
        <groupItems count="14">
          <s v="&lt;18/11/2021"/>
          <s v="Jan"/>
          <s v="Feb"/>
          <s v="Mar"/>
          <s v="Apr"/>
          <s v="May"/>
          <s v="Jun"/>
          <s v="Jul"/>
          <s v="Aug"/>
          <s v="Sep"/>
          <s v="Oct"/>
          <s v="Nov"/>
          <s v="Dec"/>
          <s v="&gt;12/02/2022"/>
        </groupItems>
      </fieldGroup>
    </cacheField>
    <cacheField name="Time" numFmtId="21">
      <sharedItems containsSemiMixedTypes="0" containsNonDate="0" containsDate="1" containsString="0" minDate="1899-12-30T00:06:00" maxDate="1899-12-30T23:56:00"/>
    </cacheField>
    <cacheField name="Ulasan" numFmtId="0">
      <sharedItems longText="1"/>
    </cacheField>
    <cacheField name="Sentimen Widi" numFmtId="0">
      <sharedItems count="4">
        <s v="1.0"/>
        <s v="3.0"/>
        <s v="2.0"/>
        <s v="NULL"/>
      </sharedItems>
    </cacheField>
    <cacheField name="Sentimen Nanda" numFmtId="0">
      <sharedItems count="4">
        <s v="1.0"/>
        <s v="3.0"/>
        <s v="2.0"/>
        <s v="NULL"/>
      </sharedItems>
    </cacheField>
    <cacheField name="Sentimen Dra. UMI KOLISOH, M.Pd" numFmtId="0">
      <sharedItems count="4">
        <s v="1.0"/>
        <s v="3.0"/>
        <s v="2.0"/>
        <s v="NULL"/>
      </sharedItems>
    </cacheField>
    <cacheField name="Sentimen" numFmtId="0">
      <sharedItems/>
    </cacheField>
    <cacheField name="Keterangan:" numFmtId="0">
      <sharedItems/>
    </cacheField>
    <cacheField name="sentiment" numFmtId="0">
      <sharedItems/>
    </cacheField>
    <cacheField name="Keterangan_fix" numFmtId="0">
      <sharedItems count="2">
        <s v="Positif"/>
        <s v="Netral"/>
      </sharedItems>
    </cacheField>
    <cacheField name="sentimen2" numFmtId="0">
      <sharedItems count="3">
        <s v="Negative"/>
        <s v="Neutral"/>
        <s v="Positive"/>
      </sharedItems>
    </cacheField>
    <cacheField name="Keterangan_Fix3" numFmtId="0">
      <sharedItems/>
    </cacheField>
    <cacheField name="Quarters" numFmtId="0" databaseField="0">
      <fieldGroup base="2">
        <rangePr groupBy="quarters" startDate="2021-11-18T00:00:00" endDate="2022-02-12T00:00:00"/>
        <groupItems count="6">
          <s v="&lt;18/11/2021"/>
          <s v="Qtr1"/>
          <s v="Qtr2"/>
          <s v="Qtr3"/>
          <s v="Qtr4"/>
          <s v="&gt;12/02/2022"/>
        </groupItems>
      </fieldGroup>
    </cacheField>
    <cacheField name="Years" numFmtId="0" databaseField="0">
      <fieldGroup base="2">
        <rangePr groupBy="years" startDate="2021-11-18T00:00:00" endDate="2022-02-12T00:00:00"/>
        <groupItems count="4">
          <s v="&lt;18/11/2021"/>
          <s v="2021"/>
          <s v="2022"/>
          <s v="&gt;12/02/2022"/>
        </groupItems>
      </fieldGroup>
    </cacheField>
  </cacheFields>
  <extLst>
    <ext xmlns:x14="http://schemas.microsoft.com/office/spreadsheetml/2009/9/main" uri="{725AE2AE-9491-48be-B2B4-4EB974FC3084}">
      <x14:pivotCacheDefinition pivotCacheId="18591312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d v="1899-12-30T08:42:00"/>
    <s v="&quot;Harusnya dikasih bintang 4 bilang terimakasih... Belum mau ngasih bintang 5. Soalnya jaringan di area saya sangat lemot. Terkadang dari 4G malah drop sampai ke E...&quot;"/>
    <x v="0"/>
    <x v="0"/>
    <x v="0"/>
    <s v="-1.0"/>
    <s v="1. negatif "/>
    <s v="Negative"/>
    <x v="0"/>
    <x v="0"/>
    <s v="Positif"/>
  </r>
  <r>
    <x v="1"/>
    <x v="1"/>
    <x v="0"/>
    <d v="1899-12-30T07:53:00"/>
    <s v="&quot;Tolong dong masalah jaringan hampir setiap hari leg parahh!! Jangan buat kecewa costumer lah&quot;"/>
    <x v="0"/>
    <x v="0"/>
    <x v="0"/>
    <s v="-1.0"/>
    <s v="2. positif "/>
    <s v="Neutral"/>
    <x v="0"/>
    <x v="1"/>
    <s v="Positif"/>
  </r>
  <r>
    <x v="2"/>
    <x v="2"/>
    <x v="0"/>
    <d v="1899-12-30T05:50:00"/>
    <s v="&quot;Saya mau komen lagi,miminnnn kenapa akhir akhir ini jaringan XL sangat luar biasa parah sekalii bahkan pas saya searching di google behhh loadingnya kek nungguin ayam jantan bertelurÃ°Å¸â€”Â¿padahal jaringan saya selalu 4g tapi berasa kek 2g gak habis fikir kenapa bisa kek gini ya. Jadi tolong sekaliiii miminku tercinta untuk jaringan lebih lebih lebihhhhhhhhhhh ditingkatkan baiklah dari say segitu aja, ntar kalo dh ilang kesabaran sama jaringannya saya balik lagii:)&quot;"/>
    <x v="0"/>
    <x v="0"/>
    <x v="0"/>
    <s v="-1.0"/>
    <s v="3. netral"/>
    <s v="Neutral"/>
    <x v="0"/>
    <x v="1"/>
    <s v="Positif"/>
  </r>
  <r>
    <x v="3"/>
    <x v="3"/>
    <x v="0"/>
    <d v="1899-12-30T05:33:00"/>
    <s v="&quot;Bonus kouta tiktok 13gb tidak diaktifkan/tidak diberikan kepada saya..jadi kouta yg seharusnya 105gb,jadi cuma 92gb..itu sangat merugikan bagi saya.&quot;"/>
    <x v="0"/>
    <x v="0"/>
    <x v="0"/>
    <s v="-1.0"/>
    <s v="NULL"/>
    <s v="Positive"/>
    <x v="0"/>
    <x v="2"/>
    <s v="Positif"/>
  </r>
  <r>
    <x v="4"/>
    <x v="4"/>
    <x v="0"/>
    <d v="1899-12-30T03:10:00"/>
    <s v="&quot;Sejauh ini bagusÃ‚Â² aja sih apk nya, tpi udh bbrp hari sinyal xl hilang, mana baru isi pulsa, tolong ya kak, saya banyak tugas sekolah sama kerjaan juga, jika tidak ada sinyal seperti ini tugas sekolah sama kerjaan sangat keganggu sekali, mohon bantuannya ya kakÃ°Å¸â„¢ÂÃ°Å¸â„¢Â&quot;"/>
    <x v="1"/>
    <x v="1"/>
    <x v="1"/>
    <s v="0.0"/>
    <s v="NULL"/>
    <s v="Neutral"/>
    <x v="1"/>
    <x v="1"/>
    <s v="Netral"/>
  </r>
  <r>
    <x v="5"/>
    <x v="2"/>
    <x v="0"/>
    <d v="1899-12-30T03:10:00"/>
    <s v="&quot;bagus murah murah harganya tapi kalo bisa tambahin yang masa aktif 1 bulan cuma yang harga nya lebih murah&quot;"/>
    <x v="2"/>
    <x v="2"/>
    <x v="2"/>
    <s v="1.0"/>
    <s v="NULL"/>
    <s v="Neutral"/>
    <x v="0"/>
    <x v="1"/>
    <s v="Positif"/>
  </r>
  <r>
    <x v="6"/>
    <x v="1"/>
    <x v="0"/>
    <d v="1899-12-30T01:53:00"/>
    <s v="&quot;Ini aplikasi aneh, di sms suruh beli paket via apliaksi my xl, sudah di download buka aplikasi mau pilih paket malah macet, tiba2 keluar sendiri, kalo belum siap jangan bikin aplikasi, mending pindah ke oprator yg lain.&quot;"/>
    <x v="0"/>
    <x v="0"/>
    <x v="0"/>
    <s v="-1.0"/>
    <s v="NULL"/>
    <s v="Neutral"/>
    <x v="0"/>
    <x v="1"/>
    <s v="Positif"/>
  </r>
  <r>
    <x v="7"/>
    <x v="1"/>
    <x v="0"/>
    <d v="1899-12-30T01:07:00"/>
    <s v="&quot;Padahal cuma ngaktifin bonus, kuota utama ilang, sisa pulsa kesedot, Najis nyari nafkah gitu amat Cuihh&quot;"/>
    <x v="0"/>
    <x v="0"/>
    <x v="0"/>
    <s v="-1.0"/>
    <s v="NULL"/>
    <s v="Positive"/>
    <x v="0"/>
    <x v="2"/>
    <s v="Positif"/>
  </r>
  <r>
    <x v="8"/>
    <x v="0"/>
    <x v="0"/>
    <d v="1899-12-30T14:13:00"/>
    <s v="&quot;jringan xl di tmpt ku blm lancar, kalau mau online dikamar tdk bsa. hrus di luar ruangan bru bsa lancar&quot;"/>
    <x v="1"/>
    <x v="1"/>
    <x v="1"/>
    <s v="0.0"/>
    <s v="NULL"/>
    <s v="Neutral"/>
    <x v="1"/>
    <x v="1"/>
    <s v="Netral"/>
  </r>
  <r>
    <x v="9"/>
    <x v="1"/>
    <x v="0"/>
    <d v="1899-12-30T14:08:00"/>
    <s v="&quot;Asu lagi enak2 main game, gangguan mulu di akhir game&quot;"/>
    <x v="0"/>
    <x v="0"/>
    <x v="0"/>
    <s v="-1.0"/>
    <s v="NULL"/>
    <s v="Neutral"/>
    <x v="0"/>
    <x v="1"/>
    <s v="Positif"/>
  </r>
  <r>
    <x v="10"/>
    <x v="1"/>
    <x v="0"/>
    <d v="1899-12-30T13:49:00"/>
    <s v="&quot;Oh gitu ya??? Knp kok sering lost pulsanya dgn langganan apalah RBT atw APA YG GAK JELAS, Registrasi aja tidak... kok NGACO YA.. Dan lg, knp sering dpt notifikasi kalo dpt bonus dr setiap pengisian ulang tp bo'ong alias GAK ADA alias ZOOOOONK. KECEWA SANGAT&quot;"/>
    <x v="0"/>
    <x v="0"/>
    <x v="0"/>
    <s v="-1.0"/>
    <s v="NULL"/>
    <s v="Positive"/>
    <x v="0"/>
    <x v="2"/>
    <s v="Positif"/>
  </r>
  <r>
    <x v="11"/>
    <x v="1"/>
    <x v="0"/>
    <d v="1899-12-30T13:13:00"/>
    <s v="&quot;Saya sedang bermasalah dengan pengisian pulsa karena masa tenggang, xl care maya dan agents sungguh tidak membantu. Maya bot: terbatas dalam cara penyelesaian, agents : antrian tidak bergerak sedikitpun!! Tolonglah fast response. Cs nya kalah sm shopee yg gercep dan &quot;terlihat&quot; online saat menerima pengaduan&quot;"/>
    <x v="0"/>
    <x v="0"/>
    <x v="0"/>
    <s v="-1.0"/>
    <s v="NULL"/>
    <s v="Positive"/>
    <x v="0"/>
    <x v="2"/>
    <s v="Positif"/>
  </r>
  <r>
    <x v="12"/>
    <x v="2"/>
    <x v="0"/>
    <d v="1899-12-30T12:39:00"/>
    <s v="&quot;mantap...bisa bayar dengan va BCA kalau beli pulsa di myXL....trima kasih xl...&quot;"/>
    <x v="2"/>
    <x v="2"/>
    <x v="2"/>
    <s v="1.0"/>
    <s v="NULL"/>
    <s v="Neutral"/>
    <x v="0"/>
    <x v="1"/>
    <s v="Positif"/>
  </r>
  <r>
    <x v="13"/>
    <x v="2"/>
    <x v="0"/>
    <d v="1899-12-30T11:38:00"/>
    <s v="&quot;Sebenarnya bagi masyarakat awam cukup pintar untuk: merestart device kalian &gt; switch ke kartu lain/kartu xl yg serupa agar tidak terjadi crash atau keluar apps sendiri &gt; membersihkan penyimpanan internal agar tidak terjadi lemot pada device jika hal hal lain seperti terpotong pulsa lebih baik anda semua pilih fitur kontrol pulsa pada laman pengaturan Sekian dari saya terimakasih Ã°Å¸â„¢ÂÃ°Å¸â€˜Â&quot;"/>
    <x v="2"/>
    <x v="2"/>
    <x v="2"/>
    <s v="1.0"/>
    <s v="NULL"/>
    <s v="Negative"/>
    <x v="0"/>
    <x v="0"/>
    <s v="Positif"/>
  </r>
  <r>
    <x v="14"/>
    <x v="1"/>
    <x v="0"/>
    <d v="1899-12-30T10:02:00"/>
    <s v="&quot;Harga sdh oke, lbh terjangkau dr yg lain, tapi kualitas jaringan Sangat MENGECEWAKAN, TIDAK STABIL, bahkan signalnya SERING ilang-ilangan!! Percuma kuota besar tapi LEMOT PARAH ... . Tolong PERBAIKI!!&quot;"/>
    <x v="0"/>
    <x v="0"/>
    <x v="0"/>
    <s v="-1.0"/>
    <s v="NULL"/>
    <s v="Neutral"/>
    <x v="0"/>
    <x v="1"/>
    <s v="Positif"/>
  </r>
  <r>
    <x v="15"/>
    <x v="3"/>
    <x v="0"/>
    <d v="1899-12-30T00:20:00"/>
    <s v="&quot;Kenapa sinyal XL kalau malem jelek banget tapi kalau siang bagus banget?&quot;"/>
    <x v="1"/>
    <x v="1"/>
    <x v="1"/>
    <s v="0.0"/>
    <s v="NULL"/>
    <s v="Neutral"/>
    <x v="1"/>
    <x v="1"/>
    <s v="Netral"/>
  </r>
  <r>
    <x v="16"/>
    <x v="4"/>
    <x v="0"/>
    <d v="1899-12-30T00:13:00"/>
    <s v="&quot;Seru banget. Saya baru beli paket bayar pake pulsa. Trus masih ada sisa pulsa 30rebuu. paketnya emang udah masuk sihh, trus on data buka ini itu yang kesedot pulsanya kipakkk, mana abis tuh 30rebu Kipakk. Plislah untuk xl kalo mau nyedot pulsa usahakan ada konfirmasi atau tidaknya. Soalnya kakak saya juga sering ngalamin seperti itu. Saya dan kakak saya pelanggan setia xl but xl jaringan lumayan bagus dan terkadang ada diskon gede&quot;an Jadi tolong ya di perbaiki lagi agar tidak mengcewan pelanggan&quot;"/>
    <x v="1"/>
    <x v="1"/>
    <x v="1"/>
    <s v="0.0"/>
    <s v="NULL"/>
    <s v="Neutral"/>
    <x v="1"/>
    <x v="1"/>
    <s v="Netral"/>
  </r>
  <r>
    <x v="17"/>
    <x v="3"/>
    <x v="1"/>
    <d v="1899-12-30T05:31:00"/>
    <s v="&quot;Mahal,harga tidak merakyat, kuotanya kebanyakan buat youtubeanÃ°Å¸ËœÂ¡&quot;"/>
    <x v="3"/>
    <x v="3"/>
    <x v="3"/>
    <s v="NULL"/>
    <s v="NULL"/>
    <s v="Neutral"/>
    <x v="1"/>
    <x v="1"/>
    <s v="Netral"/>
  </r>
  <r>
    <x v="18"/>
    <x v="2"/>
    <x v="1"/>
    <d v="1899-12-30T04:20:00"/>
    <s v="&quot;Bagus sekali apk nya saya suka Ã°Å¸ËœÂÃ°Å¸ËœÂÃ°Å¸ËœÂ terima kasih my XL sudah memberi kami paket data 1gb&quot;"/>
    <x v="2"/>
    <x v="2"/>
    <x v="2"/>
    <s v="1.0"/>
    <s v="NULL"/>
    <s v="Neutral"/>
    <x v="0"/>
    <x v="1"/>
    <s v="Positif"/>
  </r>
  <r>
    <x v="19"/>
    <x v="1"/>
    <x v="1"/>
    <d v="1899-12-30T04:03:00"/>
    <s v="&quot;Mau login susah bener, autentikasi gagal mulu... padhal dah masukin otp... mohon dijawab.&quot;"/>
    <x v="0"/>
    <x v="0"/>
    <x v="0"/>
    <s v="-1.0"/>
    <s v="NULL"/>
    <s v="Neutral"/>
    <x v="0"/>
    <x v="1"/>
    <s v="Positif"/>
  </r>
  <r>
    <x v="20"/>
    <x v="1"/>
    <x v="1"/>
    <d v="1899-12-30T14:23:14"/>
    <s v="&quot;Aplikasi selalu terhenti jadi gak bisa di buka, sudah uninstal dan instal lagi yg baru tapi tetap aplikasi terhenti atau aplikasi myXL tidak menanggapi..&quot;"/>
    <x v="0"/>
    <x v="0"/>
    <x v="0"/>
    <s v="-1.0"/>
    <s v="NULL"/>
    <s v="Neutral"/>
    <x v="0"/>
    <x v="1"/>
    <s v="Positif"/>
  </r>
  <r>
    <x v="21"/>
    <x v="3"/>
    <x v="1"/>
    <d v="1899-12-30T22:24:00"/>
    <s v="&quot;Koneksi internet sering hilang dan lemot bisa dari pagi sampe malem, cuman bisa internetan beberapa menit abis itu ilang lagi terus aja begitu... Masalahnya bukan saya doang yg begitu, orang dekat saya juga merasakannya&quot;"/>
    <x v="0"/>
    <x v="0"/>
    <x v="0"/>
    <s v="-1.0"/>
    <s v="NULL"/>
    <s v="Neutral"/>
    <x v="0"/>
    <x v="1"/>
    <s v="Positif"/>
  </r>
  <r>
    <x v="22"/>
    <x v="1"/>
    <x v="1"/>
    <d v="1899-12-30T20:46:00"/>
    <s v="&quot;tolong dirubah lagi lah untuk penjualan masa aktif kartu,cepet banget masa tenggangnya di isi 10 /20 ribu ga nyampe sebulan masa aktif dan ada juga jualan masa aktif..saran saya buang budaya itu,saya sebagai pengguna baru cukup kaget dengan kebijakan seperti itu,saya tidak sedang membandingkan dengan provider lain..hanya saja saya ngasih saran..terimakasij&quot;"/>
    <x v="1"/>
    <x v="1"/>
    <x v="1"/>
    <s v="0.0"/>
    <s v="NULL"/>
    <s v="Neutral"/>
    <x v="1"/>
    <x v="1"/>
    <s v="Netral"/>
  </r>
  <r>
    <x v="23"/>
    <x v="4"/>
    <x v="1"/>
    <d v="1899-12-30T01:35:00"/>
    <s v="&quot;Aplikasi ..myxl .. Aga pelit ... Ga sepirti myim3 ... Isi ulang pulsa ... Bner2 sering dapat bonos kouta 1 gb... Smpai 6 gb... Bner2 yata&quot;"/>
    <x v="0"/>
    <x v="0"/>
    <x v="0"/>
    <s v="-1.0"/>
    <s v="NULL"/>
    <s v="Neutral"/>
    <x v="0"/>
    <x v="1"/>
    <s v="Positif"/>
  </r>
  <r>
    <x v="24"/>
    <x v="1"/>
    <x v="1"/>
    <d v="1899-12-30T01:19:00"/>
    <s v="&quot;kenapa setiap saya membuka myXL apk nya selalu keluar sendiri? dulu biasa&quot; aja dipake sekarang kok malah gini? developer tolong segera perbaiki&quot;"/>
    <x v="0"/>
    <x v="0"/>
    <x v="0"/>
    <s v="-1.0"/>
    <s v="NULL"/>
    <s v="Neutral"/>
    <x v="0"/>
    <x v="1"/>
    <s v="Positif"/>
  </r>
  <r>
    <x v="25"/>
    <x v="2"/>
    <x v="1"/>
    <d v="1899-12-30T01:17:00"/>
    <s v="&quot;mudah dan cepat. terima kasih... sdh melayani saya..selama lebih dari 15 tahun. sekali lagibterimankasih XL&quot;"/>
    <x v="2"/>
    <x v="2"/>
    <x v="2"/>
    <s v="1.0"/>
    <s v="NULL"/>
    <s v="Neutral"/>
    <x v="0"/>
    <x v="1"/>
    <s v="Positif"/>
  </r>
  <r>
    <x v="26"/>
    <x v="2"/>
    <x v="1"/>
    <d v="1899-12-30T01:16:00"/>
    <s v="&quot;Lebih praktis &amp; cepat untuk top up , cek kuota , pulsa dll&quot;"/>
    <x v="2"/>
    <x v="2"/>
    <x v="2"/>
    <s v="1.0"/>
    <s v="NULL"/>
    <s v="Positive"/>
    <x v="0"/>
    <x v="2"/>
    <s v="Positif"/>
  </r>
  <r>
    <x v="27"/>
    <x v="1"/>
    <x v="1"/>
    <d v="1899-12-30T01:04:00"/>
    <s v="&quot;Makin jelek aja astaga aplikasinyaa. Tiap mau dibuka loadingnya lama, dan keluar sendiri terus sblm sempet aktifkan kuota unlimitednya sampe saya hapus terus dwnload lagi apk nya tp ttp aja ngak bisa login ke menunya. PARAHHHHHHHH Ã°Å¸â€˜Å½Ã°Å¸â€˜Å½Ã°Å¸â€˜Å½Ã°Å¸â€˜Å½Ã°Å¸â€˜Å½Ã°Å¸â€˜Å½Ã°Å¸â€˜Å½Ã°Å¸â€˜Å½Ã°Å¸â€˜Å½Ã°Å¸â€˜Å½Ã°Å¸â€˜Å½Ã°Å¸â€˜Å½Ã°Å¸â€˜Å½Ã°Å¸â€˜Å½&quot;"/>
    <x v="0"/>
    <x v="0"/>
    <x v="0"/>
    <s v="-1.0"/>
    <s v="NULL"/>
    <s v="Neutral"/>
    <x v="0"/>
    <x v="1"/>
    <s v="Positif"/>
  </r>
  <r>
    <x v="28"/>
    <x v="2"/>
    <x v="1"/>
    <d v="1899-12-30T19:47:00"/>
    <s v="&quot;Aplikasi xl anlimited bisa untuk ambil bonus di saat kita baru isi ulang&quot;"/>
    <x v="1"/>
    <x v="1"/>
    <x v="1"/>
    <s v="0.0"/>
    <s v="NULL"/>
    <s v="Positive"/>
    <x v="1"/>
    <x v="2"/>
    <s v="Netral"/>
  </r>
  <r>
    <x v="29"/>
    <x v="2"/>
    <x v="1"/>
    <d v="1899-12-30T17:35:00"/>
    <s v="&quot;Tolong untuk di tingkat kan LG sinyal nya Krn semenjak XL di beli sm Axis sinyal Nye jd makin parah bgt.&quot;"/>
    <x v="0"/>
    <x v="0"/>
    <x v="0"/>
    <s v="-1.0"/>
    <s v="NULL"/>
    <s v="Neutral"/>
    <x v="0"/>
    <x v="1"/>
    <s v="Positif"/>
  </r>
  <r>
    <x v="30"/>
    <x v="1"/>
    <x v="1"/>
    <d v="1899-12-30T15:58:00"/>
    <s v="&quot;ga ada perubahan. masih lelet aja ni xl. tutup aja perusahaan xl. ga guna&quot;"/>
    <x v="0"/>
    <x v="0"/>
    <x v="0"/>
    <s v="-1.0"/>
    <s v="NULL"/>
    <s v="Neutral"/>
    <x v="0"/>
    <x v="1"/>
    <s v="Positif"/>
  </r>
  <r>
    <x v="31"/>
    <x v="1"/>
    <x v="1"/>
    <d v="1899-12-30T15:46:00"/>
    <s v="&quot;Buset dah sinyal nya tinggal di kota berasa tinggal di hutan gak ada sinyal jariangan doang ada internet nya bobrok&quot;"/>
    <x v="0"/>
    <x v="0"/>
    <x v="0"/>
    <s v="-1.0"/>
    <s v="NULL"/>
    <s v="Neutral"/>
    <x v="0"/>
    <x v="1"/>
    <s v="Positif"/>
  </r>
  <r>
    <x v="32"/>
    <x v="2"/>
    <x v="1"/>
    <d v="1899-12-30T15:46:00"/>
    <s v="&quot;sekarang xl sinyalnya sudah bagus. aq pake kartu xl ini sudah lama lebih dari 10th. kartu lain boleh ganti2 tapi kartu xl ini tetap jadi kartu utamaku&quot;"/>
    <x v="2"/>
    <x v="2"/>
    <x v="2"/>
    <s v="1.0"/>
    <s v="NULL"/>
    <s v="Neutral"/>
    <x v="0"/>
    <x v="1"/>
    <s v="Positif"/>
  </r>
  <r>
    <x v="33"/>
    <x v="1"/>
    <x v="1"/>
    <d v="1899-12-30T15:40:00"/>
    <s v="&quot;saya tdk berlangganan mood musik,,main potong aja,,,&quot;"/>
    <x v="0"/>
    <x v="0"/>
    <x v="0"/>
    <s v="-1.0"/>
    <s v="NULL"/>
    <s v="Neutral"/>
    <x v="0"/>
    <x v="1"/>
    <s v="Positif"/>
  </r>
  <r>
    <x v="34"/>
    <x v="1"/>
    <x v="1"/>
    <d v="1899-12-30T14:26:00"/>
    <s v="&quot;chat di maya dah kaya org bego,ga prnah di respon.....apk ga jelas&quot;"/>
    <x v="0"/>
    <x v="0"/>
    <x v="0"/>
    <s v="-1.0"/>
    <s v="NULL"/>
    <s v="Neutral"/>
    <x v="0"/>
    <x v="1"/>
    <s v="Positif"/>
  </r>
  <r>
    <x v="35"/>
    <x v="1"/>
    <x v="1"/>
    <d v="1899-12-30T14:14:00"/>
    <s v="&quot;Tolong klo cs live chat itu tanggepin , sinyal daerah saya akhir&quot; ini naik turun&quot;"/>
    <x v="0"/>
    <x v="0"/>
    <x v="0"/>
    <s v="-1.0"/>
    <s v="NULL"/>
    <s v="Neutral"/>
    <x v="0"/>
    <x v="1"/>
    <s v="Positif"/>
  </r>
  <r>
    <x v="36"/>
    <x v="1"/>
    <x v="1"/>
    <d v="1899-12-30T13:57:00"/>
    <s v="&quot;Makin kesini makin gak jelas, susah untuk komunikasi langsung dengan cust servicenya&quot;"/>
    <x v="0"/>
    <x v="0"/>
    <x v="0"/>
    <s v="-1.0"/>
    <s v="NULL"/>
    <s v="Neutral"/>
    <x v="0"/>
    <x v="1"/>
    <s v="Positif"/>
  </r>
  <r>
    <x v="37"/>
    <x v="3"/>
    <x v="1"/>
    <d v="1899-12-30T13:35:00"/>
    <s v="&quot;Toling dong teh maya bapak ibu jaringan di kampung saya makin kesini makin jelek jaringan xl. Liat youtube aja lambat jaringan jarang full paling bayak 2 - 3 tidak pernah full. Telepon seluler putus putus. Tolong di perbaiki seperti semulaa. Terima kasihh&quot;"/>
    <x v="0"/>
    <x v="0"/>
    <x v="0"/>
    <s v="-1.0"/>
    <s v="NULL"/>
    <s v="Neutral"/>
    <x v="0"/>
    <x v="1"/>
    <s v="Positif"/>
  </r>
  <r>
    <x v="38"/>
    <x v="1"/>
    <x v="1"/>
    <d v="1899-12-30T13:25:00"/>
    <s v="&quot;yaaa kenapa sekarang data ga bisa di timbun masa data yang kemarin masih ada 4gb pas beli lagi kuota malah hilang yang 4gb nya, ga mau rugi ya?&quot;"/>
    <x v="1"/>
    <x v="1"/>
    <x v="1"/>
    <s v="0.0"/>
    <s v="NULL"/>
    <s v="Neutral"/>
    <x v="1"/>
    <x v="1"/>
    <s v="Netral"/>
  </r>
  <r>
    <x v="39"/>
    <x v="0"/>
    <x v="1"/>
    <d v="1899-12-30T13:19:00"/>
    <s v="&quot;Katany unlimetid turbo ..ketika kuota utama habis ..trus yg unlimited nya kok jadi loading trus Ã°Å¸â„¢Â klau dlu lancar bagus skrng jadi loading trus gk lancar ..tolong perbaiki&quot;"/>
    <x v="1"/>
    <x v="1"/>
    <x v="1"/>
    <s v="0.0"/>
    <s v="NULL"/>
    <s v="Neutral"/>
    <x v="1"/>
    <x v="1"/>
    <s v="Netral"/>
  </r>
  <r>
    <x v="40"/>
    <x v="1"/>
    <x v="1"/>
    <d v="1899-12-30T12:43:00"/>
    <s v="&quot;XL kenapa sikayak gini sekarang, males gue jadinya, siaÃ‚Â² duit gue, kuota gue, kagak bisa ngapa ngapain, dahlah.&quot;"/>
    <x v="0"/>
    <x v="0"/>
    <x v="0"/>
    <s v="-1.0"/>
    <s v="NULL"/>
    <s v="Neutral"/>
    <x v="0"/>
    <x v="1"/>
    <s v="Positif"/>
  </r>
  <r>
    <x v="41"/>
    <x v="1"/>
    <x v="1"/>
    <d v="1899-12-30T12:34:00"/>
    <s v="&quot;Tidak di rekomendasikan lg utk xl karena makin kesini makin burukkk.. Gak sukaa pokoknyaa.. Gak akan lagi pake xl !!!!&quot;"/>
    <x v="0"/>
    <x v="0"/>
    <x v="0"/>
    <s v="-1.0"/>
    <s v="NULL"/>
    <s v="Neutral"/>
    <x v="0"/>
    <x v="1"/>
    <s v="Positif"/>
  </r>
  <r>
    <x v="42"/>
    <x v="4"/>
    <x v="1"/>
    <d v="1899-12-30T11:40:00"/>
    <s v="&quot;Sinyal benerin bos setiap ujan aja jelek nh sinyal, padahal w di Jakarta barat. paket aja di mahalin, kualitas sama kaya yang murah&quot;"/>
    <x v="0"/>
    <x v="0"/>
    <x v="0"/>
    <s v="-1.0"/>
    <s v="NULL"/>
    <s v="Positive"/>
    <x v="0"/>
    <x v="2"/>
    <s v="Positif"/>
  </r>
  <r>
    <x v="43"/>
    <x v="1"/>
    <x v="1"/>
    <d v="1899-12-30T11:37:00"/>
    <s v="&quot;Kenapa saya melakukan pembelian paket yang sama tetapi jumlah kuota tidak bertambah malah tergantikan oleh yang baru&quot;"/>
    <x v="1"/>
    <x v="1"/>
    <x v="1"/>
    <s v="0.0"/>
    <s v="NULL"/>
    <s v="Neutral"/>
    <x v="1"/>
    <x v="1"/>
    <s v="Netral"/>
  </r>
  <r>
    <x v="44"/>
    <x v="2"/>
    <x v="1"/>
    <d v="1899-12-30T11:36:00"/>
    <s v="&quot;Sangat membantu, dan paket nya murah meriah, pas di kantong&quot;"/>
    <x v="2"/>
    <x v="2"/>
    <x v="2"/>
    <s v="1.0"/>
    <s v="NULL"/>
    <s v="Neutral"/>
    <x v="0"/>
    <x v="1"/>
    <s v="Positif"/>
  </r>
  <r>
    <x v="45"/>
    <x v="1"/>
    <x v="1"/>
    <d v="1899-12-30T11:13:00"/>
    <s v="&quot;Isinya 90% komentar negatif semua. Dan semua dijawab silahkan hubungi maya myxl dll. Jawabannya sama semua. Mohon maaf dan silahkan hubungi costumer service. Jadi ragu mau lanjut&quot;"/>
    <x v="1"/>
    <x v="1"/>
    <x v="1"/>
    <s v="0.0"/>
    <s v="NULL"/>
    <s v="Neutral"/>
    <x v="1"/>
    <x v="1"/>
    <s v="Netral"/>
  </r>
  <r>
    <x v="46"/>
    <x v="4"/>
    <x v="1"/>
    <d v="1899-12-30T11:01:00"/>
    <s v="&quot;Aplikasi ini juga bisa digunakan sebagai bahan dasar pembuatan website toko online seperti pulsa &amp; paket&quot;"/>
    <x v="2"/>
    <x v="2"/>
    <x v="2"/>
    <s v="1.0"/>
    <s v="NULL"/>
    <s v="Neutral"/>
    <x v="0"/>
    <x v="1"/>
    <s v="Positif"/>
  </r>
  <r>
    <x v="47"/>
    <x v="0"/>
    <x v="1"/>
    <d v="1899-12-30T10:58:00"/>
    <s v="&quot;Coba perbaiki masa gk bisa ambil hadiah tar saya kasih bintang 5 untuk sekrang 4 dlu&quot;"/>
    <x v="1"/>
    <x v="1"/>
    <x v="1"/>
    <s v="0.0"/>
    <s v="NULL"/>
    <s v="Neutral"/>
    <x v="1"/>
    <x v="1"/>
    <s v="Netral"/>
  </r>
  <r>
    <x v="48"/>
    <x v="1"/>
    <x v="1"/>
    <d v="1899-12-30T00:57:00"/>
    <s v="&quot;Mulai kumat... Nggak stabil. Untuk daerah pelosok masih belum ada jaringam yg bagus.&quot;"/>
    <x v="0"/>
    <x v="0"/>
    <x v="0"/>
    <s v="-1.0"/>
    <s v="NULL"/>
    <s v="Neutral"/>
    <x v="0"/>
    <x v="1"/>
    <s v="Positif"/>
  </r>
  <r>
    <x v="49"/>
    <x v="1"/>
    <x v="1"/>
    <d v="1899-12-30T00:26:00"/>
    <s v="&quot;Jaringannya hancur banget terutama jaringan internet, apalagi untuk daerah pedesaan padahal daerah pedesaan rataÃ‚Â² pakai XL tapi jaringannya tidak pernah di perhatikan. Tower dekat tapi jaringan buruk.&quot;"/>
    <x v="0"/>
    <x v="0"/>
    <x v="0"/>
    <s v="-1.0"/>
    <s v="NULL"/>
    <s v="Neutral"/>
    <x v="0"/>
    <x v="1"/>
    <s v="Positif"/>
  </r>
  <r>
    <x v="50"/>
    <x v="0"/>
    <x v="1"/>
    <d v="1899-12-30T00:15:00"/>
    <s v="&quot;tolong promo kuotanya lebih di banyakin, kalau terlalu mahal bisa ganti perdana lain, terimakasih&quot;"/>
    <x v="1"/>
    <x v="1"/>
    <x v="1"/>
    <s v="0.0"/>
    <s v="NULL"/>
    <s v="Neutral"/>
    <x v="1"/>
    <x v="1"/>
    <s v="Netral"/>
  </r>
  <r>
    <x v="51"/>
    <x v="2"/>
    <x v="1"/>
    <d v="1899-12-30T00:08:00"/>
    <s v="&quot;lebih gampang milih paketnya. keterangannya juga jelas banget. mantap deh&quot;"/>
    <x v="2"/>
    <x v="2"/>
    <x v="2"/>
    <s v="1.0"/>
    <s v="NULL"/>
    <s v="Neutral"/>
    <x v="0"/>
    <x v="1"/>
    <s v="Positif"/>
  </r>
  <r>
    <x v="52"/>
    <x v="1"/>
    <x v="2"/>
    <d v="1899-12-30T08:16:00"/>
    <s v="&quot;My XL masih belum bisa digunakan, udah beberapa kali bilang ke Maya, bilangnya suruh di uninstall lalu coba download lagi hapus data , udah di lakuin semua bahkan sampe beberapa kali , masih tetap gak bisa padahal saya pengguna lama, Karna saya ganti hp, saya download di hp baru malahan kga bisa , dan gak ngebantu juga si Maya. Terpaksa ganti kartu , KECEWA AKU !!!&quot;"/>
    <x v="0"/>
    <x v="0"/>
    <x v="0"/>
    <s v="-1.0"/>
    <s v="NULL"/>
    <s v="Neutral"/>
    <x v="0"/>
    <x v="1"/>
    <s v="Positif"/>
  </r>
  <r>
    <x v="53"/>
    <x v="2"/>
    <x v="2"/>
    <d v="1899-12-30T08:07:00"/>
    <s v="&quot;Bgs!!!!!!!!!!!!!!!!!!!!!!!!!!!!!!!!!!!!!!!!!!!!!!!!!!!!!!!!!!!!!!!!!!!!!!!!!!!!!!!!!!!!!!!!!!!!!!!!!!!!!!!!!!!!!!!!!!!!!!!!!!!!!!!!!!!!!!!!!!!!!!!!!!!!!!!!!!!!!!!!!!!!!!!!!!!!!!!!!!!!!!!!!!!!!!!!!!!!!!!!!!!!!!!!!!!!!!!!!!!!!!!!!!!!!!!!!!!!!!!!!!!!!!!!!!!!!!!!!!!!!!!!!!!!!!!!!!!!! Eh tapi boong Ã°Å¸Ëœâ€šÃ°Å¸Ëœâ€š&quot;"/>
    <x v="1"/>
    <x v="1"/>
    <x v="1"/>
    <s v="0.0"/>
    <s v="NULL"/>
    <s v="Neutral"/>
    <x v="1"/>
    <x v="1"/>
    <s v="Netral"/>
  </r>
  <r>
    <x v="54"/>
    <x v="2"/>
    <x v="2"/>
    <d v="1899-12-30T07:49:00"/>
    <s v="&quot;dari dulu sejak sekolah SMA selalu pakai XL . tolong ya kak jaringan XL di stabilkan lagi . sukses slalu XL axiata!!!!&quot;"/>
    <x v="2"/>
    <x v="2"/>
    <x v="2"/>
    <s v="1.0"/>
    <s v="NULL"/>
    <s v="Neutral"/>
    <x v="0"/>
    <x v="1"/>
    <s v="Positif"/>
  </r>
  <r>
    <x v="55"/>
    <x v="1"/>
    <x v="1"/>
    <d v="1899-12-30T19:08:38"/>
    <s v="&quot;Saya mau melakukan pembelian paket tapi kenapa tidak bisa herannn terjadi kesalahan maksudnya apa makin lama xl makin ngk jelas&quot;"/>
    <x v="0"/>
    <x v="0"/>
    <x v="0"/>
    <s v="-1.0"/>
    <s v="NULL"/>
    <s v="Neutral"/>
    <x v="0"/>
    <x v="1"/>
    <s v="Positif"/>
  </r>
  <r>
    <x v="56"/>
    <x v="1"/>
    <x v="2"/>
    <d v="1899-12-30T06:58:00"/>
    <s v="&quot;Kartu xl makin lama sinyal nya makin kayak sampah mau di mana aja di bawa pasti sama aja sinyal nya hilang hilang kecewa berat pakai kartu ini maaf buat provider xl saya gak mau pakai kartu anda lagi merasa rugi&quot;"/>
    <x v="0"/>
    <x v="0"/>
    <x v="0"/>
    <s v="-1.0"/>
    <s v="NULL"/>
    <s v="Neutral"/>
    <x v="0"/>
    <x v="1"/>
    <s v="Positif"/>
  </r>
  <r>
    <x v="57"/>
    <x v="0"/>
    <x v="2"/>
    <d v="1899-12-30T05:49:00"/>
    <s v="&quot;Aplikasi berjalan dengan baik, cuman lebih di tingkatkan kualitas app nya, jgn kalau log in atau memulai transaksi malah mengalami gangguan.&quot;"/>
    <x v="2"/>
    <x v="2"/>
    <x v="2"/>
    <s v="1.0"/>
    <s v="NULL"/>
    <s v="Neutral"/>
    <x v="0"/>
    <x v="1"/>
    <s v="Positif"/>
  </r>
  <r>
    <x v="58"/>
    <x v="4"/>
    <x v="2"/>
    <d v="1899-12-30T05:14:00"/>
    <s v="&quot;Heran saya ... awalnya signal XL baik2 saja walau kadang naik turun , 2 hari ini kenapa susah sekali yaa signal XL sampe gak ada signal yang muncul di layar hape ...&quot;"/>
    <x v="1"/>
    <x v="1"/>
    <x v="1"/>
    <s v="0.0"/>
    <s v="NULL"/>
    <s v="Neutral"/>
    <x v="1"/>
    <x v="1"/>
    <s v="Netral"/>
  </r>
  <r>
    <x v="59"/>
    <x v="0"/>
    <x v="2"/>
    <d v="1899-12-30T05:10:00"/>
    <s v="&quot;alhamdulilah pelayanan mulai membaik, sekarang sudah bisa transaksi pembelian di aplikasi myXL. terus tingkatkan pelayanan.&quot;"/>
    <x v="2"/>
    <x v="2"/>
    <x v="2"/>
    <s v="1.0"/>
    <s v="NULL"/>
    <s v="Neutral"/>
    <x v="0"/>
    <x v="1"/>
    <s v="Positif"/>
  </r>
  <r>
    <x v="60"/>
    <x v="3"/>
    <x v="2"/>
    <d v="1899-12-30T04:46:00"/>
    <s v="&quot;Tolong apk nya di perbaiki kembali. Dikarnakan sering lag saat melakukan transaksi maupun pengecekan data. Semoga segera di perbaiki agar pengguna yang lain puas.&quot;"/>
    <x v="1"/>
    <x v="1"/>
    <x v="1"/>
    <s v="0.0"/>
    <s v="NULL"/>
    <s v="Negative"/>
    <x v="1"/>
    <x v="0"/>
    <s v="Netral"/>
  </r>
  <r>
    <x v="61"/>
    <x v="2"/>
    <x v="2"/>
    <d v="1899-12-30T04:30:00"/>
    <s v="&quot;Terimakasih admin. Aplikasi ini sangat membantu saya sebagai pelanggan Kartu XL.&quot;"/>
    <x v="2"/>
    <x v="2"/>
    <x v="2"/>
    <s v="1.0"/>
    <s v="NULL"/>
    <s v="Neutral"/>
    <x v="0"/>
    <x v="1"/>
    <s v="Positif"/>
  </r>
  <r>
    <x v="62"/>
    <x v="2"/>
    <x v="2"/>
    <d v="1899-12-30T23:36:00"/>
    <s v="&quot;Terima ksih xl telah memberikan promo2 yg sangat mantap...semoga kedepannya xl terus memberikan promo kepada pelanggannya&quot;"/>
    <x v="2"/>
    <x v="2"/>
    <x v="2"/>
    <s v="1.0"/>
    <s v="NULL"/>
    <s v="Neutral"/>
    <x v="0"/>
    <x v="1"/>
    <s v="Positif"/>
  </r>
  <r>
    <x v="63"/>
    <x v="1"/>
    <x v="2"/>
    <d v="1899-12-30T23:25:00"/>
    <s v="&quot;Hp diam sendirian, gak disentuh ber jam jam, tau tau muncul : Anda sedang menikmati internet dengan tarif normal Rp1rb/MB. Mau YOUTUBE tanpa kuota? Pilih Pkt XTRA Combo di *123# Padahal data dan juga wifi tidak ada yang aktif, Pulsa jadi berkurang sendiri. Itu namanya pencurian pulsa, coba dikali berapa banyak pelanggan, perusahaan besar begitu, kok berkelakuan kotor&quot;"/>
    <x v="0"/>
    <x v="0"/>
    <x v="0"/>
    <s v="-1.0"/>
    <s v="NULL"/>
    <s v="Neutral"/>
    <x v="0"/>
    <x v="1"/>
    <s v="Positif"/>
  </r>
  <r>
    <x v="64"/>
    <x v="1"/>
    <x v="2"/>
    <d v="1899-12-30T01:56:00"/>
    <s v="&quot;Paket youtube 1 hari unlimited baru diaktifin semalem puku 24.00 ,pagi udah abis ,gila xl males guw make xl lagi pembohong,buang xl anjrittt&quot;"/>
    <x v="0"/>
    <x v="0"/>
    <x v="0"/>
    <s v="-1.0"/>
    <s v="NULL"/>
    <s v="Neutral"/>
    <x v="0"/>
    <x v="1"/>
    <s v="Positif"/>
  </r>
  <r>
    <x v="65"/>
    <x v="0"/>
    <x v="2"/>
    <d v="1899-12-30T01:12:00"/>
    <s v="&quot;Sinyal tolong di perbaiki lagi ya...kemaren saya kesel bnget sinyal gc ada&quot;"/>
    <x v="0"/>
    <x v="0"/>
    <x v="0"/>
    <s v="-1.0"/>
    <s v="NULL"/>
    <s v="Neutral"/>
    <x v="0"/>
    <x v="1"/>
    <s v="Positif"/>
  </r>
  <r>
    <x v="66"/>
    <x v="2"/>
    <x v="2"/>
    <d v="1899-12-30T19:30:00"/>
    <s v="&quot;Makin baik aja nih aplikasinya. Banyak fitur dan benefitnya sekarang. Mulai dari lock pulsa, dan bonus2 yg lain. Sukes terus MyXL&quot;"/>
    <x v="2"/>
    <x v="2"/>
    <x v="2"/>
    <s v="1.0"/>
    <s v="NULL"/>
    <s v="Neutral"/>
    <x v="0"/>
    <x v="1"/>
    <s v="Positif"/>
  </r>
  <r>
    <x v="67"/>
    <x v="2"/>
    <x v="2"/>
    <d v="1899-12-30T19:24:00"/>
    <s v="&quot;Saya kasih bintang 5 bukan karna maya..karna jaringannya XL bagi saya pribadi sangatlah membatu. Pertahankan kualitas jaringan internetnya ok..&quot;"/>
    <x v="2"/>
    <x v="2"/>
    <x v="2"/>
    <s v="1.0"/>
    <s v="NULL"/>
    <s v="Neutral"/>
    <x v="0"/>
    <x v="1"/>
    <s v="Positif"/>
  </r>
  <r>
    <x v="68"/>
    <x v="1"/>
    <x v="2"/>
    <d v="1899-12-30T19:14:00"/>
    <s v="&quot;Mau bilang jelek bingung mau bilang bagus agak tidak layak, buat sosmed lancar tapi buar ngegame langsung lag sinyal ilang terus&quot;"/>
    <x v="0"/>
    <x v="0"/>
    <x v="0"/>
    <s v="-1.0"/>
    <s v="NULL"/>
    <s v="Negative"/>
    <x v="0"/>
    <x v="0"/>
    <s v="Positif"/>
  </r>
  <r>
    <x v="69"/>
    <x v="1"/>
    <x v="2"/>
    <d v="1899-12-30T17:47:00"/>
    <s v="&quot;Bisa gak perbaiki jaringan nya ? Makin hari makin parah aja niih jaringan .. Kuota banyak tapi ga bisa buat apa2 .. Lelet amat nih jaringan&quot;"/>
    <x v="0"/>
    <x v="0"/>
    <x v="0"/>
    <s v="-1.0"/>
    <s v="NULL"/>
    <s v="Neutral"/>
    <x v="0"/>
    <x v="1"/>
    <s v="Positif"/>
  </r>
  <r>
    <x v="70"/>
    <x v="4"/>
    <x v="2"/>
    <d v="1899-12-30T17:26:00"/>
    <s v="&quot;Kenapa saya tidak pernah dapat diskon kuota dari xl padahal teman saya selalu dapat.saya juga rutin beli paket&quot;"/>
    <x v="1"/>
    <x v="1"/>
    <x v="1"/>
    <s v="0.0"/>
    <s v="NULL"/>
    <s v="Neutral"/>
    <x v="1"/>
    <x v="1"/>
    <s v="Netral"/>
  </r>
  <r>
    <x v="71"/>
    <x v="1"/>
    <x v="2"/>
    <d v="1899-12-30T15:18:00"/>
    <s v="&quot;Semenjak ganti pascabayar kok malah jadi lemot yaa?, sebelum nya lancar lancar aja.&quot;"/>
    <x v="0"/>
    <x v="0"/>
    <x v="0"/>
    <s v="-1.0"/>
    <s v="NULL"/>
    <s v="Neutral"/>
    <x v="0"/>
    <x v="1"/>
    <s v="Positif"/>
  </r>
  <r>
    <x v="72"/>
    <x v="3"/>
    <x v="2"/>
    <d v="1899-12-30T15:17:00"/>
    <s v="&quot;Ampun deh baru kali ini isi paket akrab baru 8 hari udh mau hbs.. pdhl bulanÃ‚Â² sebelumnya bisa sampe 30har,, kenapa ya perasaan kok skrg cepet bgt habis kuotanya pdhl aplikasi yg di gunakan juga hampir sama setiap blnnya &amp; masih di bilang normal sedih deh tgl segini udh harus isi booster lagi, pdhl seborosÃ‚Â²nya pemakaian aplikasi di hari ke 20 atau 25 baru booster lagi Ã°Å¸Â¥ÂºÃ°Å¸Â¥ÂºÃ°Å¸Â¥Âº Jadi mikir lagi kalo terusÃ‚Â²an ky gini Ã°Å¸ËœÂ¥&quot;"/>
    <x v="0"/>
    <x v="0"/>
    <x v="0"/>
    <s v="-1.0"/>
    <s v="NULL"/>
    <s v="Neutral"/>
    <x v="0"/>
    <x v="1"/>
    <s v="Positif"/>
  </r>
  <r>
    <x v="73"/>
    <x v="2"/>
    <x v="2"/>
    <d v="1899-12-30T14:10:00"/>
    <s v="&quot;sangat membantu, yg terpenting terus tingkatkan perfom nya itu aja yg ingin gw bilang, terimakasih.&quot;"/>
    <x v="2"/>
    <x v="2"/>
    <x v="2"/>
    <s v="1.0"/>
    <s v="NULL"/>
    <s v="Neutral"/>
    <x v="0"/>
    <x v="1"/>
    <s v="Positif"/>
  </r>
  <r>
    <x v="74"/>
    <x v="1"/>
    <x v="2"/>
    <d v="1899-12-30T14:00:00"/>
    <s v="&quot;Masa aku gak ngeaktipin data tapi pulsaku 20 ribu habis sendiri, padahal aku pakai wifi loh.&quot;"/>
    <x v="0"/>
    <x v="0"/>
    <x v="0"/>
    <s v="-1.0"/>
    <s v="NULL"/>
    <s v="Neutral"/>
    <x v="0"/>
    <x v="1"/>
    <s v="Positif"/>
  </r>
  <r>
    <x v="75"/>
    <x v="3"/>
    <x v="2"/>
    <d v="1899-12-30T13:45:00"/>
    <s v="&quot;tolong diperbaiki lgi jaringan dan aplikasinya kadang suka error pada saat buka apknya itu saja&quot;"/>
    <x v="1"/>
    <x v="1"/>
    <x v="1"/>
    <s v="0.0"/>
    <s v="NULL"/>
    <s v="Negative"/>
    <x v="1"/>
    <x v="0"/>
    <s v="Netral"/>
  </r>
  <r>
    <x v="76"/>
    <x v="2"/>
    <x v="2"/>
    <d v="1899-12-30T13:31:00"/>
    <s v="&quot;Lah gw pake xl sinyal aman aman aja kaga ada lag lagan Malahan enakan xl daripada si telkom Gw lokasi di kampung tapi sinyal joss mantep&quot;"/>
    <x v="2"/>
    <x v="2"/>
    <x v="2"/>
    <s v="1.0"/>
    <s v="NULL"/>
    <s v="Negative"/>
    <x v="0"/>
    <x v="0"/>
    <s v="Positif"/>
  </r>
  <r>
    <x v="77"/>
    <x v="4"/>
    <x v="2"/>
    <d v="1899-12-30T13:06:00"/>
    <s v="&quot;sinyal bagus tapi gak bisa buka sosmed, padahal dekat sama tower loh, mau buka my xl aja gak bisa&quot;"/>
    <x v="1"/>
    <x v="1"/>
    <x v="1"/>
    <s v="0.0"/>
    <s v="NULL"/>
    <s v="Neutral"/>
    <x v="1"/>
    <x v="1"/>
    <s v="Netral"/>
  </r>
  <r>
    <x v="78"/>
    <x v="3"/>
    <x v="2"/>
    <d v="1899-12-30T12:24:00"/>
    <s v="&quot;Sinyal makin lemah,internet lambat padahal paket combo VIP/combo reguler sama saja lemotnya. Tlng tingkatkan lagi jaringan inet nya, 4G serasa 2G/ Edge, parah deh. Update: Untuk saat ini Diluar ruangan cukup bagus tapiiii...didalam ruangan, dirumah,di kantor, lemot banget speed internet nya. Tolong perkuat dong jangkauan sinyal inet nya.Trims... Update: di indoor makin parah sinyal inet nya, makin lemot, apalagi musim hujan begini signal very down....Hhhhrrrggghh bikin emozi aja.&quot;"/>
    <x v="0"/>
    <x v="0"/>
    <x v="0"/>
    <s v="-1.0"/>
    <s v="NULL"/>
    <s v="Neutral"/>
    <x v="0"/>
    <x v="1"/>
    <s v="Positif"/>
  </r>
  <r>
    <x v="79"/>
    <x v="0"/>
    <x v="2"/>
    <d v="1899-12-30T12:14:00"/>
    <s v="&quot;Saya reload tiap beberapa detik kemudian harga paketnya suka berubah berubah.&quot;"/>
    <x v="1"/>
    <x v="1"/>
    <x v="1"/>
    <s v="0.0"/>
    <s v="NULL"/>
    <s v="Neutral"/>
    <x v="1"/>
    <x v="1"/>
    <s v="Netral"/>
  </r>
  <r>
    <x v="80"/>
    <x v="1"/>
    <x v="2"/>
    <d v="1899-12-30T12:10:00"/>
    <s v="&quot;PROVIDER KERAJAAN'NYA HANYA MOLOR !!! JARINGAN SEMAKIN HARI SEMAKIN BUSUK !!! CUSTOMER TIDAK DI PRIORITASKAN !!! KLO TIDAK ADA KAMI KALIAN MAU MAKAN APA !!! BEKERJALAH SEBAIKÃ‚Â²NYA , JANGAN HANYA CUAN !!!&quot;"/>
    <x v="0"/>
    <x v="0"/>
    <x v="0"/>
    <s v="-1.0"/>
    <s v="NULL"/>
    <s v="Neutral"/>
    <x v="0"/>
    <x v="1"/>
    <s v="Positif"/>
  </r>
  <r>
    <x v="81"/>
    <x v="2"/>
    <x v="2"/>
    <d v="1899-12-30T11:45:00"/>
    <s v="&quot;XL Napa si kalo mau beli paket combo mini Eror Mulu kaga jelas banget padahal masi ada sisa paketan buat isi kuota nya najiss&quot;"/>
    <x v="0"/>
    <x v="0"/>
    <x v="0"/>
    <s v="-1.0"/>
    <s v="NULL"/>
    <s v="Neutral"/>
    <x v="0"/>
    <x v="1"/>
    <s v="Positif"/>
  </r>
  <r>
    <x v="82"/>
    <x v="1"/>
    <x v="2"/>
    <d v="1899-12-30T11:44:00"/>
    <s v="&quot;Sinyal jelek, layanan aplikasi xl tidak memuaskan, pemberitahuan kuota habis selalu menguras pulsa yg ada dulu baru notofication keluar&quot;"/>
    <x v="0"/>
    <x v="0"/>
    <x v="0"/>
    <s v="-1.0"/>
    <s v="NULL"/>
    <s v="Neutral"/>
    <x v="0"/>
    <x v="1"/>
    <s v="Positif"/>
  </r>
  <r>
    <x v="83"/>
    <x v="2"/>
    <x v="2"/>
    <d v="1899-12-30T11:37:00"/>
    <s v="&quot;Saya pakai XL hampir 5 tahun Pakai aplikasi my XL udah 3tahunan Sabar saya sabar kalo tiba-tiba aplikasi myxl keluar sendiri pas daftar paket Sabar saya benar-benar sabar Tapi tolong diperbaiki biar tidak terus seperti ini Saya setia pake XL jadi mohon diperbaiki&quot;"/>
    <x v="1"/>
    <x v="1"/>
    <x v="1"/>
    <s v="0.0"/>
    <s v="NULL"/>
    <s v="Neutral"/>
    <x v="1"/>
    <x v="1"/>
    <s v="Netral"/>
  </r>
  <r>
    <x v="84"/>
    <x v="1"/>
    <x v="2"/>
    <d v="1899-12-30T11:26:00"/>
    <s v="&quot;Lagi serba online pak, mau ngisi kuota, kenapa gabisa sih ????! Status mas perbaikan nya sampai kapan ???!&quot;"/>
    <x v="0"/>
    <x v="0"/>
    <x v="0"/>
    <s v="-1.0"/>
    <s v="NULL"/>
    <s v="Neutral"/>
    <x v="0"/>
    <x v="1"/>
    <s v="Positif"/>
  </r>
  <r>
    <x v="85"/>
    <x v="2"/>
    <x v="2"/>
    <d v="1899-12-30T11:15:00"/>
    <s v="&quot;Pembaruan sampai jam berapa ini kak rabu 09 februari 2022 jam 18.15 sampai jam berapa??&quot;"/>
    <x v="1"/>
    <x v="1"/>
    <x v="1"/>
    <s v="0.0"/>
    <s v="NULL"/>
    <s v="Neutral"/>
    <x v="1"/>
    <x v="1"/>
    <s v="Netral"/>
  </r>
  <r>
    <x v="86"/>
    <x v="0"/>
    <x v="2"/>
    <d v="1899-12-30T11:13:00"/>
    <s v="&quot;Kemaren promo 60gb 60rb lumayan sih sebulan ga abis malah kebuang . Saran kalo kuota banyak masa aktif kuotanya di tambahin kak.. Atau bikin menu tambah masa aktif kuota biar ga buang2 kuota.. Kemaren dapet promo lg 70gb 75rb .. Alhamdulillah promo ga pernah mengecewakan Ã°Å¸ËœÂ&quot;"/>
    <x v="2"/>
    <x v="2"/>
    <x v="2"/>
    <s v="1.0"/>
    <s v="NULL"/>
    <s v="Neutral"/>
    <x v="0"/>
    <x v="1"/>
    <s v="Positif"/>
  </r>
  <r>
    <x v="87"/>
    <x v="1"/>
    <x v="2"/>
    <d v="1899-12-30T11:12:00"/>
    <s v="&quot;Mohon maaf sebelumbya, Kenapa pas saya masukkan kode voucer 13 GB, terus ada notifikasi masuk dan di teruskan untuk scan voucer, setelah sya download alpikasi myxl, terus sya scan ternyata tdk ada apa2, malahan sya rugi karna voucer yg saya beli, itu ternyata tdk ada apa apa,. dan setiap login di myxl, biar menggunakan hostpot/Wifi tetapi keterangan cek koneksi internet,. Maksudnya apa ini bosss,. Sudah beli kuota mahal2 tetapi tidak bisa di gunakan Jadi kedapannya harus di perbaiki lagi,.&quot;"/>
    <x v="0"/>
    <x v="0"/>
    <x v="0"/>
    <s v="-1.0"/>
    <s v="NULL"/>
    <s v="Neutral"/>
    <x v="0"/>
    <x v="1"/>
    <s v="Positif"/>
  </r>
  <r>
    <x v="88"/>
    <x v="1"/>
    <x v="2"/>
    <d v="1899-12-30T11:12:00"/>
    <s v="&quot;Kenapa sih setiap buka nya eror. Gonta ganti jaringan sama aja. Kaya aplikasi ukuran 10GB aja. Lemot&quot;"/>
    <x v="0"/>
    <x v="0"/>
    <x v="0"/>
    <s v="-1.0"/>
    <s v="NULL"/>
    <s v="Neutral"/>
    <x v="0"/>
    <x v="1"/>
    <s v="Positif"/>
  </r>
  <r>
    <x v="89"/>
    <x v="1"/>
    <x v="2"/>
    <d v="1899-12-30T11:04:00"/>
    <s v="&quot;Buka YouTube bisa wa lancar masuk ke myxl tidak ada koneksi,, XL sehat ??&quot;"/>
    <x v="0"/>
    <x v="0"/>
    <x v="0"/>
    <s v="-1.0"/>
    <s v="NULL"/>
    <s v="Neutral"/>
    <x v="0"/>
    <x v="1"/>
    <s v="Positif"/>
  </r>
  <r>
    <x v="90"/>
    <x v="1"/>
    <x v="2"/>
    <d v="1899-12-30T10:58:00"/>
    <s v="&quot;Hari hari kalau mau beli paket lagi masuk my xl susahnya minta ampun, udah pake versi paling baru padahal, ini maaf klo saya bandingkan dengan my telkomsel dan indosat jauh bgt. Kedua aplikasi itu on point ga pernah kaya my xl sering kali aku kesulitam login. Tolong lah di fix pak. Mohon maaf sebelumnya, saya tidak bermaksud apapun, cuma menyampaikan apa yg saya kesalkan, saya juga pengguna xl sejak lama.... Karna dari dulu di daerah saya paling enak xl doang.&quot;"/>
    <x v="0"/>
    <x v="0"/>
    <x v="0"/>
    <s v="-1.0"/>
    <s v="NULL"/>
    <s v="Neutral"/>
    <x v="0"/>
    <x v="1"/>
    <s v="Positif"/>
  </r>
  <r>
    <x v="91"/>
    <x v="4"/>
    <x v="2"/>
    <d v="1899-12-30T10:49:00"/>
    <s v="&quot;Sering gak bs masuk..koneksi internet lah gak konek,padahal konek dan ada data ya..terus lama masuk ke aplikasinya juga..tolong di perbaiki..makasih&quot;"/>
    <x v="0"/>
    <x v="0"/>
    <x v="0"/>
    <s v="-1.0"/>
    <s v="NULL"/>
    <s v="Neutral"/>
    <x v="0"/>
    <x v="1"/>
    <s v="Positif"/>
  </r>
  <r>
    <x v="92"/>
    <x v="1"/>
    <x v="2"/>
    <d v="1899-12-30T10:46:00"/>
    <s v="&quot;Sinyal makin hari makin lemottt, ini apk buat apa sih? Kenapa pas mau dipake malah gagal memuat data terus? Astagaaaa&quot;"/>
    <x v="0"/>
    <x v="0"/>
    <x v="0"/>
    <s v="-1.0"/>
    <s v="NULL"/>
    <s v="Neutral"/>
    <x v="0"/>
    <x v="1"/>
    <s v="Positif"/>
  </r>
  <r>
    <x v="93"/>
    <x v="2"/>
    <x v="2"/>
    <d v="1899-12-30T10:37:00"/>
    <s v="&quot;Lebih baik dari yg dulu,terima kasih untuk myxl yg bisa mempermudah cek kuota,pulsa dan kalau bisa lebih bnyk gratisan sih Ã°Å¸â€˜Â&quot;"/>
    <x v="2"/>
    <x v="2"/>
    <x v="2"/>
    <s v="1.0"/>
    <s v="NULL"/>
    <s v="Neutral"/>
    <x v="0"/>
    <x v="1"/>
    <s v="Positif"/>
  </r>
  <r>
    <x v="94"/>
    <x v="2"/>
    <x v="2"/>
    <d v="1899-12-30T10:10:00"/>
    <s v="&quot;paketnya ekonomis, sesuai dgn saat ini dan di tempat dimana kami tinggal jaringannya oke&quot;"/>
    <x v="2"/>
    <x v="2"/>
    <x v="2"/>
    <s v="1.0"/>
    <s v="NULL"/>
    <s v="Neutral"/>
    <x v="0"/>
    <x v="1"/>
    <s v="Positif"/>
  </r>
  <r>
    <x v="95"/>
    <x v="1"/>
    <x v="2"/>
    <d v="1899-12-30T10:06:00"/>
    <s v="&quot;Buruk banget Xl,buat tlp aja.blm bicara uda mati,internet jg begitu....bgm nih???BUAT APA BAYAR BULANAN.KALAU HASIL NYA SANGAT BURUK....SEKALI&quot;"/>
    <x v="0"/>
    <x v="0"/>
    <x v="0"/>
    <s v="-1.0"/>
    <s v="NULL"/>
    <s v="Neutral"/>
    <x v="0"/>
    <x v="1"/>
    <s v="Positif"/>
  </r>
  <r>
    <x v="96"/>
    <x v="1"/>
    <x v="3"/>
    <d v="1899-12-30T09:35:00"/>
    <s v="&quot;Woooooyy aplikasi ini knapa si, slalu keluar aplikasi sendiri, tiap log-in eror terus gk bisa masuk ke pelayanannya, tolong di perbaiki kesalahannya dan klau tidak bisa di perbaiki gk usah di tampilkan di playstore, hapus aja aplikasi ini.&quot;"/>
    <x v="0"/>
    <x v="0"/>
    <x v="0"/>
    <s v="-1.0"/>
    <s v="NULL"/>
    <s v="Neutral"/>
    <x v="0"/>
    <x v="1"/>
    <s v="Positif"/>
  </r>
  <r>
    <x v="97"/>
    <x v="2"/>
    <x v="3"/>
    <d v="1899-12-30T09:29:00"/>
    <s v="&quot;lanjutkan,jgn ada pengurangan kuota swadaya dan harga KL bs lbh murah lg&quot;"/>
    <x v="2"/>
    <x v="2"/>
    <x v="2"/>
    <s v="1.0"/>
    <s v="NULL"/>
    <s v="Neutral"/>
    <x v="0"/>
    <x v="1"/>
    <s v="Positif"/>
  </r>
  <r>
    <x v="98"/>
    <x v="2"/>
    <x v="3"/>
    <d v="1899-12-30T08:00:00"/>
    <s v="&quot;bangun tower di pelosok2 negeri biar komunikasi semakin lancar pertahankan harga dan layanan&quot;"/>
    <x v="2"/>
    <x v="2"/>
    <x v="2"/>
    <s v="1.0"/>
    <s v="NULL"/>
    <s v="Neutral"/>
    <x v="0"/>
    <x v="1"/>
    <s v="Positif"/>
  </r>
  <r>
    <x v="99"/>
    <x v="2"/>
    <x v="3"/>
    <d v="1899-12-30T07:19:00"/>
    <s v="&quot;Aplikasinya memuaskan walapun saya ambil gratisan nya pulsa saya kepotong dan habis , my xl the best deh pokoknyaÃ°Å¸Â¤â€”Ã°Å¸Â¤â€”Ã°Å¸Ëœâ€¡Ã°Å¸Ëœâ€¡&quot;"/>
    <x v="2"/>
    <x v="2"/>
    <x v="2"/>
    <s v="1.0"/>
    <s v="NULL"/>
    <s v="Positive"/>
    <x v="0"/>
    <x v="2"/>
    <s v="Positif"/>
  </r>
  <r>
    <x v="100"/>
    <x v="2"/>
    <x v="3"/>
    <d v="1899-12-30T06:39:00"/>
    <s v="&quot;Ã°Å¸â€˜Â..... kalau bisa masa aktif kartunya di tingkatkan jadi lebih lama. terima kasih&quot;"/>
    <x v="2"/>
    <x v="2"/>
    <x v="2"/>
    <s v="1.0"/>
    <s v="NULL"/>
    <s v="Neutral"/>
    <x v="0"/>
    <x v="1"/>
    <s v="Positif"/>
  </r>
  <r>
    <x v="101"/>
    <x v="2"/>
    <x v="3"/>
    <d v="1899-12-30T06:14:00"/>
    <s v="&quot;Aplikasi ini sangat bagusÃ°Å¸â„¢â€šMemberikan kuota dengan harga yg murah jadi saya bisa membeli nyaÃ°Å¸â„¢â€šKarna saya masih kelas 8 SMP jadi belom bisa cari duit sendiriÃ°Å¸Ëœâ‚¬Terima kasih myXL karna telah memberi pelayanan terbaik untuk penggunanya Ã°Å¸â„¢â€šÃ°Å¸â„¢ÂÃ°Å¸ÂÂ»&quot;"/>
    <x v="2"/>
    <x v="2"/>
    <x v="2"/>
    <s v="1.0"/>
    <s v="NULL"/>
    <s v="Neutral"/>
    <x v="0"/>
    <x v="1"/>
    <s v="Positif"/>
  </r>
  <r>
    <x v="102"/>
    <x v="2"/>
    <x v="3"/>
    <d v="1899-12-30T05:44:00"/>
    <s v="&quot;mantap xl, pertahakan performa bonusanya trus, agar pengguna xl semakin betah, dan yang belum bisa beralih&quot;"/>
    <x v="2"/>
    <x v="2"/>
    <x v="2"/>
    <s v="1.0"/>
    <s v="NULL"/>
    <s v="Neutral"/>
    <x v="0"/>
    <x v="1"/>
    <s v="Positif"/>
  </r>
  <r>
    <x v="103"/>
    <x v="1"/>
    <x v="3"/>
    <d v="1899-12-30T05:33:00"/>
    <s v="&quot;Jaringannya skrg butut, lancar2 pas jam 11 malam ampe jam 6 pagi doang. Pindah ke yg lain aja apa gmn ini hmm...&quot;"/>
    <x v="0"/>
    <x v="0"/>
    <x v="0"/>
    <s v="-1.0"/>
    <s v="NULL"/>
    <s v="Neutral"/>
    <x v="0"/>
    <x v="1"/>
    <s v="Positif"/>
  </r>
  <r>
    <x v="104"/>
    <x v="0"/>
    <x v="3"/>
    <d v="1899-12-30T23:28:00"/>
    <s v="&quot;selanjutnya jangan seperti kemarenÃ‚Â² 2minggu sekali di update mau isi ulang data harus di update dulu keseringan di update juga malas untuk membuka apl ini .&quot;"/>
    <x v="1"/>
    <x v="1"/>
    <x v="1"/>
    <s v="0.0"/>
    <s v="NULL"/>
    <s v="Neutral"/>
    <x v="1"/>
    <x v="1"/>
    <s v="Netral"/>
  </r>
  <r>
    <x v="105"/>
    <x v="0"/>
    <x v="3"/>
    <d v="1899-12-30T21:31:00"/>
    <s v="&quot;XL sekarang jaringan nya aga lemot gitu, kuota nya masih banyak tp suka loading terus, knpa ya??&quot;"/>
    <x v="0"/>
    <x v="0"/>
    <x v="0"/>
    <s v="-1.0"/>
    <s v="NULL"/>
    <s v="Neutral"/>
    <x v="0"/>
    <x v="1"/>
    <s v="Positif"/>
  </r>
  <r>
    <x v="106"/>
    <x v="1"/>
    <x v="3"/>
    <d v="1899-12-30T01:58:00"/>
    <s v="&quot;Percuma Paket Banyak Gak Bisa Dipakai,Makan Hati,Kesal,Buang2 Uang Saja,Mending Dipakai Sedekah Sekalian. Selalu Gangguan,lelet,lemot. Utk yg lain Semoga Jgn jd korban PHP XL. Iklan,Promo hanya BACOT.....!!!!&quot;"/>
    <x v="0"/>
    <x v="0"/>
    <x v="0"/>
    <s v="-1.0"/>
    <s v="NULL"/>
    <s v="Neutral"/>
    <x v="0"/>
    <x v="1"/>
    <s v="Positif"/>
  </r>
  <r>
    <x v="107"/>
    <x v="1"/>
    <x v="3"/>
    <d v="1899-12-30T01:51:00"/>
    <s v="&quot;XL, gimana nih, saya sudah masukkan 16 digit angka di aplikasi untuk isi ulang, tapi tidak masuk, nyesel punya internet kayak gini!&quot;"/>
    <x v="0"/>
    <x v="0"/>
    <x v="0"/>
    <s v="-1.0"/>
    <s v="NULL"/>
    <s v="Neutral"/>
    <x v="0"/>
    <x v="1"/>
    <s v="Positif"/>
  </r>
  <r>
    <x v="108"/>
    <x v="2"/>
    <x v="3"/>
    <d v="1899-12-30T01:42:00"/>
    <s v="&quot;Xl axiata memang mantap... Salah satu layanan terbaik,pulsa tidak berkurang walau kuota internet habis Terimakasih XL Terus berikan layanan terbaik mu&quot;"/>
    <x v="2"/>
    <x v="2"/>
    <x v="2"/>
    <s v="1.0"/>
    <s v="NULL"/>
    <s v="Neutral"/>
    <x v="0"/>
    <x v="1"/>
    <s v="Positif"/>
  </r>
  <r>
    <x v="109"/>
    <x v="1"/>
    <x v="3"/>
    <d v="1899-12-30T01:30:00"/>
    <s v="&quot;Xl binatang!!! Masa sinyal pasti ganti h+ trus hilang mulu gimana mau main binatang!!! Provider gagal! Nyusahin orang aja mending tutup aja ngeselin sumpah binatang ini!&quot;"/>
    <x v="0"/>
    <x v="0"/>
    <x v="0"/>
    <s v="-1.0"/>
    <s v="NULL"/>
    <s v="Neutral"/>
    <x v="0"/>
    <x v="1"/>
    <s v="Positif"/>
  </r>
  <r>
    <x v="110"/>
    <x v="2"/>
    <x v="3"/>
    <d v="1899-12-30T01:21:00"/>
    <s v="&quot;mantap harganya.kalau bisa tolong lah di tingkatkan lagi.karna XL kekuatan sinyalnya lemah betul. Kalah dengan telkomsel &amp; M3&quot;"/>
    <x v="2"/>
    <x v="2"/>
    <x v="2"/>
    <s v="1.0"/>
    <s v="NULL"/>
    <s v="Neutral"/>
    <x v="0"/>
    <x v="1"/>
    <s v="Positif"/>
  </r>
  <r>
    <x v="111"/>
    <x v="2"/>
    <x v="3"/>
    <d v="1899-12-30T19:22:00"/>
    <s v="&quot;Aku ngeluh di jaringan internet masih low di daerah saya malah kadang hilang.harga paketnya murah Semoga kedepannya jaringan 4G merata smpai pelosok biar bisa saingin tuh... Provaider sebelah yg harga paketnya selangit.&quot;"/>
    <x v="1"/>
    <x v="1"/>
    <x v="1"/>
    <s v="0.0"/>
    <s v="NULL"/>
    <s v="Negative"/>
    <x v="1"/>
    <x v="0"/>
    <s v="Netral"/>
  </r>
  <r>
    <x v="112"/>
    <x v="1"/>
    <x v="3"/>
    <d v="1899-12-30T18:05:00"/>
    <s v="&quot;Xl prioritas jangan asyik sms ini itu ini itu suruh beli kuota ini itu ini itu....internet kalian macem kaleng kaleng kapan diperbaiki..udah berapa lama kalian beroperasi sama kalah ama layanan lain contoh first media..&quot;"/>
    <x v="0"/>
    <x v="0"/>
    <x v="0"/>
    <s v="-1.0"/>
    <s v="NULL"/>
    <s v="Neutral"/>
    <x v="0"/>
    <x v="1"/>
    <s v="Positif"/>
  </r>
  <r>
    <x v="113"/>
    <x v="1"/>
    <x v="3"/>
    <d v="1899-12-30T16:56:00"/>
    <s v="&quot;Jaringan XL di Denpasar dan Nusa penida ancur udah hampir 6 bulan ini gada perubahan kayak kehabisan kuota! Mengecewakan! Tolong dong bagi pihak yang berwenang kunjungi dan di perbaiki.. keburu pada ganti ke Telkomsel tuhh..&quot;"/>
    <x v="0"/>
    <x v="0"/>
    <x v="0"/>
    <s v="-1.0"/>
    <s v="NULL"/>
    <s v="Neutral"/>
    <x v="0"/>
    <x v="1"/>
    <s v="Positif"/>
  </r>
  <r>
    <x v="114"/>
    <x v="4"/>
    <x v="3"/>
    <d v="1899-12-30T15:50:00"/>
    <s v="&quot;Selamat malam Min, Saya sudah beli paket combo plus 59rb 14gb 30 hari. Gimana caranya ya ngambil bonus kuota yuo tube 2gb Padahal sms notifikasi masuk mohon pencerahannya terima kasih.&quot;"/>
    <x v="1"/>
    <x v="1"/>
    <x v="1"/>
    <s v="0.0"/>
    <s v="NULL"/>
    <s v="Positive"/>
    <x v="1"/>
    <x v="2"/>
    <s v="Netral"/>
  </r>
  <r>
    <x v="115"/>
    <x v="1"/>
    <x v="3"/>
    <d v="1899-12-30T15:49:00"/>
    <s v="&quot;Kecepatan download sangat rendah padahal gue udah ubah pengaturan APN tapi tetap aja lemot saat mendownload, cek pakai aplikasi speedcheckpro memang koneksi XL untuk download sangat rendah. Apakah karena pihak XL lebih memprioritaskan kecepatan koneksi yg lebih bagus untuk layanan baru yaitu liveon? Gue tinggal didaerah elit Jakarta Selatan yaitu Kebayoran Baru, ternyata gak pengaruh tetap aja koneksi jaringan XL lebih jelek daripada operator lain.&quot;"/>
    <x v="0"/>
    <x v="0"/>
    <x v="0"/>
    <s v="-1.0"/>
    <s v="NULL"/>
    <s v="Neutral"/>
    <x v="0"/>
    <x v="1"/>
    <s v="Positif"/>
  </r>
  <r>
    <x v="116"/>
    <x v="1"/>
    <x v="3"/>
    <d v="1899-12-30T15:45:00"/>
    <s v="&quot;Nah ini kouta mobile legends yg sia sia gak bisa buat maen rank atau klasik.. Kalo udah masuk baru ada pemberitahuan masalah jaringan.. Kalo gak bisa buat maen ngapain d adain paketnya.. 10gb 10rb tapi gak guna ngilangin kredit score aja..&quot;"/>
    <x v="0"/>
    <x v="0"/>
    <x v="0"/>
    <s v="-1.0"/>
    <s v="NULL"/>
    <s v="Negative"/>
    <x v="0"/>
    <x v="0"/>
    <s v="Positif"/>
  </r>
  <r>
    <x v="117"/>
    <x v="3"/>
    <x v="3"/>
    <d v="1899-12-30T15:30:00"/>
    <s v="&quot;Saya mau masuk ke aplikasi my xl kok gak bisa ya, udh dpt kode verifikasi tapi masih tidak bisa masuk sedang terjadi kesalahan terus&quot;"/>
    <x v="0"/>
    <x v="0"/>
    <x v="0"/>
    <s v="-1.0"/>
    <s v="NULL"/>
    <s v="Neutral"/>
    <x v="0"/>
    <x v="1"/>
    <s v="Positif"/>
  </r>
  <r>
    <x v="118"/>
    <x v="1"/>
    <x v="3"/>
    <d v="1899-12-30T15:08:00"/>
    <s v="&quot;Sinyalnya parah... Masih mendingan axis internetan sangat stabil dan lancar.. Padahal unlimited tiap bulan bayar tagihan... Klo buat gamers gak cocok pakai ini.. Lemot.lola.loading&quot;"/>
    <x v="0"/>
    <x v="0"/>
    <x v="0"/>
    <s v="-1.0"/>
    <s v="NULL"/>
    <s v="Neutral"/>
    <x v="0"/>
    <x v="1"/>
    <s v="Positif"/>
  </r>
  <r>
    <x v="119"/>
    <x v="1"/>
    <x v="3"/>
    <d v="1899-12-30T14:44:00"/>
    <s v="&quot;XL kenapa ya skrng udah 3 hari ini sinyal bapuk/jelek padahal udah beli yg VIP 70GB..selalu muter2 tuh sinyal..tolong di perbaiki dong.. klo gini mah auto ganti provider..&quot;"/>
    <x v="0"/>
    <x v="0"/>
    <x v="0"/>
    <s v="-1.0"/>
    <s v="NULL"/>
    <s v="Positive"/>
    <x v="0"/>
    <x v="2"/>
    <s v="Positif"/>
  </r>
  <r>
    <x v="120"/>
    <x v="2"/>
    <x v="3"/>
    <d v="1899-12-30T13:45:00"/>
    <s v="&quot;Ini gimana pihak XL, rencana mau top up via pulsa XL tibaÃ‚Â²setelah isi ulang pulsa berkurang sendiri, dah gabisa buat top up gegara kurang sedikit, awal 10000 jadi 9950, apa sebab nya XL tolong diperbaiki dong!!!&quot;"/>
    <x v="0"/>
    <x v="0"/>
    <x v="0"/>
    <s v="-1.0"/>
    <s v="NULL"/>
    <s v="Positive"/>
    <x v="0"/>
    <x v="2"/>
    <s v="Positif"/>
  </r>
  <r>
    <x v="121"/>
    <x v="1"/>
    <x v="3"/>
    <d v="1899-12-30T11:32:00"/>
    <s v="&quot;Saya isi ulang untuk memperpanjang masa aktif. Dan sedang tidak pakai kuota. Tapi kenapa selalu berkurang pulsanya????????????&quot;"/>
    <x v="0"/>
    <x v="0"/>
    <x v="0"/>
    <s v="-1.0"/>
    <s v="NULL"/>
    <s v="Neutral"/>
    <x v="0"/>
    <x v="1"/>
    <s v="Positif"/>
  </r>
  <r>
    <x v="122"/>
    <x v="4"/>
    <x v="3"/>
    <d v="1899-12-30T10:25:00"/>
    <s v="&quot;kalau pihak myXL memang sudah membuat rogram tetap setiap paket data dengan besaran GB tertentu yg di tawarkan kepada konsumen, sebaiknya pihak myXL tidak lagi merubah atau mengutik-utik komitmen tersebut apapun alasannya, sehingga tidak merugikan bagi konsumen pd kondisi waktu tertentu. Misalnya konsumen membeli 2 GB untuk durasi pemutaran video Youtube, ya ketentuan itu harus di jalankan secara konsisten sesuai dengan jumlah paket data yg dibeli dan digunakan oleh konsumen dengan tuntas.&quot;"/>
    <x v="0"/>
    <x v="0"/>
    <x v="0"/>
    <s v="-1.0"/>
    <s v="NULL"/>
    <s v="Neutral"/>
    <x v="0"/>
    <x v="1"/>
    <s v="Positif"/>
  </r>
  <r>
    <x v="123"/>
    <x v="4"/>
    <x v="3"/>
    <d v="1899-12-30T10:16:00"/>
    <s v="&quot;Kl bisa paketan yg reguler bs 45 rb misalnya 13 Giga full unlimited tidak usah pakai bonus wa, youtube aplikasi sdh jadi satu pasti rame dan laris manis... Ini masukan saya sdh pakai XL sdh 25 tahun..... Krna XL paketan ya sering gonta ganti jd nggk kerasan pelanggannyaÃ°Å¸Ëœâ‚¬Ã°Å¸â„¢ÂÃ°Å¸â„¢Â&quot;"/>
    <x v="1"/>
    <x v="1"/>
    <x v="1"/>
    <s v="0.0"/>
    <s v="NULL"/>
    <s v="Positive"/>
    <x v="1"/>
    <x v="2"/>
    <s v="Netral"/>
  </r>
  <r>
    <x v="124"/>
    <x v="1"/>
    <x v="3"/>
    <d v="1899-12-30T00:06:00"/>
    <s v="&quot;Sudah download aplikasi xl tp gak bisa buka susah lama bgt kasih bintang 1 tolong buka dong&quot;"/>
    <x v="0"/>
    <x v="0"/>
    <x v="0"/>
    <s v="-1.0"/>
    <s v="NULL"/>
    <s v="Neutral"/>
    <x v="0"/>
    <x v="1"/>
    <s v="Positif"/>
  </r>
  <r>
    <x v="125"/>
    <x v="0"/>
    <x v="4"/>
    <d v="1899-12-30T09:41:00"/>
    <s v="&quot;Sehabis hujan sinyal XL hilang hilangan ( khususnya di daerah Depok 2 ) apalagi qlo main game online &amp; buka sosial media...&quot;"/>
    <x v="0"/>
    <x v="0"/>
    <x v="0"/>
    <s v="-1.0"/>
    <s v="NULL"/>
    <s v="Neutral"/>
    <x v="0"/>
    <x v="1"/>
    <s v="Positif"/>
  </r>
  <r>
    <x v="126"/>
    <x v="4"/>
    <x v="4"/>
    <d v="1899-12-30T09:26:00"/>
    <s v="&quot;saran aja untuk paketan yg di atas 100 gb seharusnya jangka waktu nya di bnyakin (2 bulan ) krena paketan q sering hngus dikarenakan masa aktif nya cmn 1 bulan sedih deh Ã°Å¸â€™â€Ã°Å¸â€™â€&quot;"/>
    <x v="1"/>
    <x v="1"/>
    <x v="1"/>
    <s v="0.0"/>
    <s v="NULL"/>
    <s v="Neutral"/>
    <x v="1"/>
    <x v="1"/>
    <s v="Netral"/>
  </r>
  <r>
    <x v="127"/>
    <x v="1"/>
    <x v="4"/>
    <d v="1899-12-30T09:18:00"/>
    <s v="&quot;Sinyal sering hilang , nelpon n terima telpon susah.dulu bagus, kenapa sekarang jelek ya??&quot;"/>
    <x v="0"/>
    <x v="0"/>
    <x v="0"/>
    <s v="-1.0"/>
    <s v="NULL"/>
    <s v="Neutral"/>
    <x v="0"/>
    <x v="1"/>
    <s v="Positif"/>
  </r>
  <r>
    <x v="128"/>
    <x v="4"/>
    <x v="4"/>
    <d v="1899-12-30T09:05:00"/>
    <s v="&quot;Sebenernya bagus, banyak bonus dan diskon pembelian kuota apalagi untuk pelajar. Tapi yang disayangkan adalah kadang keluar terus dari aplikasi sampai instal hapus instal hapus. Mohon kalau bisa, diperbaiki lagi aplikasinya. Terima kasih&quot;"/>
    <x v="2"/>
    <x v="2"/>
    <x v="2"/>
    <s v="1.0"/>
    <s v="NULL"/>
    <s v="Positive"/>
    <x v="0"/>
    <x v="2"/>
    <s v="Positif"/>
  </r>
  <r>
    <x v="129"/>
    <x v="1"/>
    <x v="4"/>
    <d v="1899-12-30T07:50:00"/>
    <s v="&quot;Susah buat masuk apk nya gak bisa&quot; beda sama apk kartu lainnya gampang mudah ini selalu tulisan terjadi masalah padahal ya gak apa&quot; sampek ganti kartu beberapa kali dikira karna kartunya ternyata apk nya aja yang susah buat masuk&quot;"/>
    <x v="0"/>
    <x v="0"/>
    <x v="0"/>
    <s v="-1.0"/>
    <s v="NULL"/>
    <s v="Neutral"/>
    <x v="0"/>
    <x v="1"/>
    <s v="Positif"/>
  </r>
  <r>
    <x v="130"/>
    <x v="2"/>
    <x v="4"/>
    <d v="1899-12-30T07:31:00"/>
    <s v="&quot;tolong jaringan nya lebih di percepat lagi yaa kadang suka. lemot&quot;"/>
    <x v="1"/>
    <x v="1"/>
    <x v="1"/>
    <s v="0.0"/>
    <s v="NULL"/>
    <s v="Neutral"/>
    <x v="1"/>
    <x v="1"/>
    <s v="Netral"/>
  </r>
  <r>
    <x v="131"/>
    <x v="1"/>
    <x v="4"/>
    <d v="1899-12-30T06:29:00"/>
    <s v="&quot;Maaf sy ganti bintangnya karena XL menipu, waktu blm beli paketan ada promo paket akrab 125 rb untuk 3 akun, ketika sdh isi pulsa dan mau dipaketkan ajaibnya harga kembali ke harga normal 180rb hingga pulsa tidak cukup, benar benar merasa ditipu&quot;"/>
    <x v="0"/>
    <x v="0"/>
    <x v="0"/>
    <s v="-1.0"/>
    <s v="NULL"/>
    <s v="Neutral"/>
    <x v="0"/>
    <x v="1"/>
    <s v="Positif"/>
  </r>
  <r>
    <x v="132"/>
    <x v="1"/>
    <x v="4"/>
    <d v="1899-12-30T05:15:00"/>
    <s v="&quot;Jaringan lemot .. Banyak fake khusunya paket data yg dipakai tidak sesuai dengan isinya&quot;"/>
    <x v="0"/>
    <x v="0"/>
    <x v="0"/>
    <s v="-1.0"/>
    <s v="NULL"/>
    <s v="Negative"/>
    <x v="0"/>
    <x v="0"/>
    <s v="Positif"/>
  </r>
  <r>
    <x v="133"/>
    <x v="1"/>
    <x v="4"/>
    <d v="1899-12-30T04:37:00"/>
    <s v="&quot;Xl kalo gk mau kasi diskon mending gk usah jangan nipu orang... Masa pas mau daftar kouta harganya dinaikin terus plis ya xl kalo gk mau kasih ya udah... Jagan nipu orang&quot;"/>
    <x v="0"/>
    <x v="0"/>
    <x v="0"/>
    <s v="-1.0"/>
    <s v="NULL"/>
    <s v="Neutral"/>
    <x v="0"/>
    <x v="1"/>
    <s v="Positif"/>
  </r>
  <r>
    <x v="134"/>
    <x v="2"/>
    <x v="4"/>
    <d v="1899-12-30T22:51:00"/>
    <s v="&quot;Banyak bonus di aplikasi myxl.. Kuota kejutan murah tiap hari.. Sangat suka menggunakan aplikasi ini.&quot;"/>
    <x v="2"/>
    <x v="2"/>
    <x v="2"/>
    <s v="1.0"/>
    <s v="NULL"/>
    <s v="Positive"/>
    <x v="0"/>
    <x v="2"/>
    <s v="Positif"/>
  </r>
  <r>
    <x v="135"/>
    <x v="1"/>
    <x v="4"/>
    <d v="1899-12-30T22:33:00"/>
    <s v="&quot;LINTAH PULSA ASW !!! ,PERCUMA ADA SETTING PENGONTROL PULSA TAPI MASIH NYEDOT PULSA ...KENAPA SELALU MEMPERPANJANG MASA PAKET KONT#L !!! PULSA SAYA HABIS GARA2 LUPA NON AKTIFKAN PAKET ,TIDAK SEPERTI KARTU LAIN GAK MEMPERPANJANG PAKET SENDIRI BELI SEKALI DOANG !!!&quot;"/>
    <x v="0"/>
    <x v="0"/>
    <x v="0"/>
    <s v="-1.0"/>
    <s v="NULL"/>
    <s v="Neutral"/>
    <x v="0"/>
    <x v="1"/>
    <s v="Positif"/>
  </r>
  <r>
    <x v="136"/>
    <x v="4"/>
    <x v="4"/>
    <d v="1899-12-30T20:12:00"/>
    <s v="&quot;Kerna jaringan saya sudah normal kembali jadi saya naikan lagi bintang nya , makasih myXL&quot;"/>
    <x v="2"/>
    <x v="2"/>
    <x v="2"/>
    <s v="1.0"/>
    <s v="NULL"/>
    <s v="Neutral"/>
    <x v="0"/>
    <x v="1"/>
    <s v="Positif"/>
  </r>
  <r>
    <x v="137"/>
    <x v="1"/>
    <x v="4"/>
    <d v="1899-12-30T18:27:00"/>
    <s v="&quot;Beli kartu perdana paket 28 gb kuota utama dan unlimited ( fb, ig, wa dll) Setelah paket kuota utama 28gb habis, sinyal unlimited (fb, ig, wa dll) sangat buruk sekali. Sayang2 beli kuota mahal2 jaringan nya H+ mulu, ada apa ini? Apakah mau bangkrut? Tolong komplain2 customer/pelanggang diperhatikan, agar nyaman, perbaiki sinyal nyanya. Permainan game gw terganggu ini woy, beli kuota mahal2 hasil nya buruk, parah!!!!!!!!!!!!, kacau Gue maen game nge lag mulu ini. Kapan bangkrut?????? Sinyal taiii&quot;"/>
    <x v="0"/>
    <x v="0"/>
    <x v="0"/>
    <s v="-1.0"/>
    <s v="NULL"/>
    <s v="Negative"/>
    <x v="0"/>
    <x v="0"/>
    <s v="Positif"/>
  </r>
  <r>
    <x v="138"/>
    <x v="1"/>
    <x v="4"/>
    <d v="1899-12-30T17:40:00"/>
    <s v="&quot;Aplikasi yg gak bermanfaat, nambah booster/kuota aja ribet. 2X kali nambah paket booster, sms udh berhasil tp kuota tdk masuk. Trus beli lg via shopee, saldo udh kepotong tp kuota gak masuk. Trus live chat nya lebih baik gk usah deh. Gak ada manfaat sama sekali. Sy chat di live chat malah bingung sendiri.&quot;"/>
    <x v="0"/>
    <x v="0"/>
    <x v="0"/>
    <s v="-1.0"/>
    <s v="NULL"/>
    <s v="Neutral"/>
    <x v="0"/>
    <x v="1"/>
    <s v="Positif"/>
  </r>
  <r>
    <x v="139"/>
    <x v="4"/>
    <x v="4"/>
    <d v="1899-12-30T15:52:00"/>
    <s v="&quot;kadang kadang aplikasinya bisa dibuka kadang kadang tidak,tpi baguslah lebih bisa mudah melihat data dan pulsa lebih simpel&quot;"/>
    <x v="2"/>
    <x v="2"/>
    <x v="2"/>
    <s v="1.0"/>
    <s v="NULL"/>
    <s v="Neutral"/>
    <x v="0"/>
    <x v="1"/>
    <s v="Positif"/>
  </r>
  <r>
    <x v="140"/>
    <x v="1"/>
    <x v="4"/>
    <d v="1899-12-30T15:37:00"/>
    <s v="&quot;Mohon dibaca!! Kartu saya sengaja gak di aktifkan paket datanya, dan indikator datanya pun saya matikan. karena di rumah menggunakan wi-fi. Tp kenapa setiap hari dapet sms dari XL. (XL) Pemakaian internet Anda hari ini dgn tarif Rp3/KB sudah lebih dari Rp2rb. Mau akses YouTube tanpa kuota?Beli Pkt Xtra Combo di *123# &amp; myXL. Info:817 Dan sy cek Saldo setiap hari, saldonya berkurang. Mohon penjelasannya. Terima kasih.&quot;"/>
    <x v="0"/>
    <x v="0"/>
    <x v="0"/>
    <s v="-1.0"/>
    <s v="NULL"/>
    <s v="Neutral"/>
    <x v="0"/>
    <x v="1"/>
    <s v="Positif"/>
  </r>
  <r>
    <x v="141"/>
    <x v="1"/>
    <x v="4"/>
    <d v="1899-12-30T14:19:00"/>
    <s v="&quot;Bangke,gua pikir lebih bagus sinyal nya dari tri gak tau nya lebih buruk.Ã°Å¸Ëœâ‚¬Ã°Å¸Ëœâ‚¬&quot;"/>
    <x v="0"/>
    <x v="0"/>
    <x v="0"/>
    <s v="-1.0"/>
    <s v="NULL"/>
    <s v="Neutral"/>
    <x v="0"/>
    <x v="1"/>
    <s v="Positif"/>
  </r>
  <r>
    <x v="142"/>
    <x v="4"/>
    <x v="4"/>
    <d v="1899-12-30T14:10:00"/>
    <s v="&quot;Tolong xl poin nya di tampilkan,dan beri fitur penukaran poin xl.&quot;"/>
    <x v="1"/>
    <x v="1"/>
    <x v="1"/>
    <s v="0.0"/>
    <s v="NULL"/>
    <s v="Neutral"/>
    <x v="1"/>
    <x v="1"/>
    <s v="Netral"/>
  </r>
  <r>
    <x v="143"/>
    <x v="3"/>
    <x v="4"/>
    <d v="1899-12-30T13:52:00"/>
    <s v="&quot;Saya mau beli paket kuota di aplikasi, masa eror aktivasi Mulu. Padahal mau beli loh ini.&quot;"/>
    <x v="0"/>
    <x v="0"/>
    <x v="0"/>
    <s v="-1.0"/>
    <s v="NULL"/>
    <s v="Neutral"/>
    <x v="0"/>
    <x v="1"/>
    <s v="Positif"/>
  </r>
  <r>
    <x v="144"/>
    <x v="2"/>
    <x v="4"/>
    <d v="1899-12-30T13:36:00"/>
    <s v="&quot;Terima kasih untuk paketannya yg selalu menemani saya, tapi kadang putus,,tolong ditingkatkan lagi ya untuk jaringannya tks&quot;"/>
    <x v="2"/>
    <x v="2"/>
    <x v="2"/>
    <s v="1.0"/>
    <s v="NULL"/>
    <s v="Neutral"/>
    <x v="0"/>
    <x v="1"/>
    <s v="Positif"/>
  </r>
  <r>
    <x v="145"/>
    <x v="1"/>
    <x v="4"/>
    <d v="1899-12-30T13:24:00"/>
    <s v="&quot;udah di update, lama loading nya, gak bisa ke buka pula aplikasinya..,, perbaiki dlu .. klo udah bagus nnti saya kasih 5 bintang. terimakasih.&quot;"/>
    <x v="1"/>
    <x v="1"/>
    <x v="1"/>
    <s v="0.0"/>
    <s v="NULL"/>
    <s v="Neutral"/>
    <x v="1"/>
    <x v="1"/>
    <s v="Netral"/>
  </r>
  <r>
    <x v="146"/>
    <x v="1"/>
    <x v="4"/>
    <d v="1899-12-30T13:08:00"/>
    <s v="&quot;Kenapa XL makin hari makin jelek ya sinyalnya? Apknya juga setelah di update malah maintenance mulu??&quot;"/>
    <x v="0"/>
    <x v="0"/>
    <x v="0"/>
    <s v="-1.0"/>
    <s v="NULL"/>
    <s v="Neutral"/>
    <x v="0"/>
    <x v="1"/>
    <s v="Positif"/>
  </r>
  <r>
    <x v="147"/>
    <x v="0"/>
    <x v="4"/>
    <d v="1899-12-30T13:02:00"/>
    <s v="&quot;my XL benar benar sangat membantu, beli kuota,cek kuota jadi lebih mudah.&quot;"/>
    <x v="2"/>
    <x v="2"/>
    <x v="2"/>
    <s v="1.0"/>
    <s v="NULL"/>
    <s v="Neutral"/>
    <x v="0"/>
    <x v="1"/>
    <s v="Positif"/>
  </r>
  <r>
    <x v="148"/>
    <x v="1"/>
    <x v="4"/>
    <d v="1899-12-30T12:54:00"/>
    <s v="&quot;Data offline, sms, telfon ga pernah tapi pulsa bisa habis?.... kenapa ini? Tulisannya &quot;Pemakaian bla bla bal sudah mencapai sekian ribu&quot; Data gua offline cuy gua make wifi ini, kok bisa begitu?&quot;"/>
    <x v="0"/>
    <x v="0"/>
    <x v="0"/>
    <s v="-1.0"/>
    <s v="NULL"/>
    <s v="Negative"/>
    <x v="0"/>
    <x v="0"/>
    <s v="Positif"/>
  </r>
  <r>
    <x v="149"/>
    <x v="2"/>
    <x v="4"/>
    <d v="1899-12-30T12:43:00"/>
    <s v="&quot;apk baik, cuma tolong di perbaiki kembali karena sering terjadi eror saat login my XL Ã¢â‚¬Â¢ Ã¢â‚¬Â¢ Sekian Terimakasih-!!&quot;"/>
    <x v="2"/>
    <x v="2"/>
    <x v="2"/>
    <s v="1.0"/>
    <s v="NULL"/>
    <s v="Neutral"/>
    <x v="0"/>
    <x v="1"/>
    <s v="Positif"/>
  </r>
  <r>
    <x v="150"/>
    <x v="2"/>
    <x v="4"/>
    <d v="1899-12-30T12:34:00"/>
    <s v="&quot;Sudah lama pakai XL masih nomer 11digit,sama sekali belum pernah beli paket data.padahal XL ditempat saya sinyal bagus.dapat paket data kemarin waktu pandemi,bantuan paket dari mendikbud iseng-iseng daftar.&quot;"/>
    <x v="2"/>
    <x v="2"/>
    <x v="2"/>
    <s v="1.0"/>
    <s v="NULL"/>
    <s v="Neutral"/>
    <x v="0"/>
    <x v="1"/>
    <s v="Positif"/>
  </r>
  <r>
    <x v="151"/>
    <x v="1"/>
    <x v="4"/>
    <d v="1899-12-30T12:02:00"/>
    <s v="&quot;Kenapa gak bisa beli paket vip nya ya, malahan pulsa saya dimakannya&quot;"/>
    <x v="0"/>
    <x v="0"/>
    <x v="0"/>
    <s v="-1.0"/>
    <s v="NULL"/>
    <s v="Positive"/>
    <x v="0"/>
    <x v="2"/>
    <s v="Positif"/>
  </r>
  <r>
    <x v="152"/>
    <x v="1"/>
    <x v="4"/>
    <d v="1899-12-30T11:21:00"/>
    <s v="&quot;Ada promo kuota Akrab 33.000 terlanjur isi pulsa 10 + 25 yang totalnya bisa 40.000 ternyata si bgsd berubah 55.000.. anj bikin emosi&quot;"/>
    <x v="0"/>
    <x v="0"/>
    <x v="0"/>
    <s v="-1.0"/>
    <s v="NULL"/>
    <s v="Neutral"/>
    <x v="0"/>
    <x v="1"/>
    <s v="Positif"/>
  </r>
  <r>
    <x v="153"/>
    <x v="2"/>
    <x v="4"/>
    <d v="1899-12-30T10:30:00"/>
    <s v="&quot;semoga bisa lebih baik dalam melayani konsumen ya my XL sukses selalu jaringan bisa diperluas&quot;"/>
    <x v="2"/>
    <x v="2"/>
    <x v="2"/>
    <s v="1.0"/>
    <s v="NULL"/>
    <s v="Neutral"/>
    <x v="0"/>
    <x v="1"/>
    <s v="Positif"/>
  </r>
  <r>
    <x v="154"/>
    <x v="2"/>
    <x v="4"/>
    <d v="1899-12-30T10:23:00"/>
    <s v="&quot;Alhamdulillah dengan aplikasi myxl ini sangat berguna dan bisa berkomunikasi dengan keluarga di kampung Ã°Å¸â€˜ÂÃ°Å¸â€˜ÂÃ°Å¸â€˜ÂÃ°Å¸â€˜Â&quot;"/>
    <x v="2"/>
    <x v="2"/>
    <x v="2"/>
    <s v="1.0"/>
    <s v="NULL"/>
    <s v="Neutral"/>
    <x v="0"/>
    <x v="1"/>
    <s v="Positif"/>
  </r>
  <r>
    <x v="155"/>
    <x v="1"/>
    <x v="4"/>
    <d v="1899-12-30T00:58:00"/>
    <s v="&quot;jadi gini, saya beli kuota XL untuk berjaga-jaga apabila ada kendala di wifi saya seperti misal listrik mati kan otomatis wifi juga ikut mati, lah ini listrik mati sinyal XL kok ikut ilang, kan konyol, sia-sia, tidak ada manfaatnya saya beli kuota XL. JMBOT&quot;"/>
    <x v="0"/>
    <x v="0"/>
    <x v="0"/>
    <s v="-1.0"/>
    <s v="NULL"/>
    <s v="Neutral"/>
    <x v="0"/>
    <x v="1"/>
    <s v="Positif"/>
  </r>
  <r>
    <x v="156"/>
    <x v="4"/>
    <x v="4"/>
    <d v="1899-12-30T00:24:00"/>
    <s v="&quot;Kenapa ya mau buka aplikasi XL nya aja lemot muter terus padahal mau cek kuotaÃ°Å¸Â¥Â´ udah beberapa hari begitu, kenapa ya??&quot;"/>
    <x v="1"/>
    <x v="1"/>
    <x v="1"/>
    <s v="0.0"/>
    <s v="NULL"/>
    <s v="Neutral"/>
    <x v="1"/>
    <x v="1"/>
    <s v="Netral"/>
  </r>
  <r>
    <x v="157"/>
    <x v="2"/>
    <x v="4"/>
    <d v="1899-12-30T00:21:00"/>
    <s v="&quot;Tingkatkan kestabilan bandwidth internet nya... Semoga jaringan sampai ke pelosok negeri. Terkadang di dataran tinggi atau pelosok sinyal menghilang.&quot;"/>
    <x v="1"/>
    <x v="1"/>
    <x v="1"/>
    <s v="0.0"/>
    <s v="NULL"/>
    <s v="Neutral"/>
    <x v="1"/>
    <x v="1"/>
    <s v="Netral"/>
  </r>
  <r>
    <x v="158"/>
    <x v="2"/>
    <x v="5"/>
    <d v="1899-12-30T08:36:00"/>
    <s v="&quot;ini sih keren banget keluarga aku banyak sih pake xl ini wah keren pokok nya bagus lah&quot;"/>
    <x v="2"/>
    <x v="2"/>
    <x v="2"/>
    <s v="1.0"/>
    <s v="NULL"/>
    <s v="Neutral"/>
    <x v="0"/>
    <x v="1"/>
    <s v="Positif"/>
  </r>
  <r>
    <x v="159"/>
    <x v="3"/>
    <x v="5"/>
    <d v="1899-12-30T07:36:00"/>
    <s v="&quot;saya mau tanya kerja XL emang gini apa gimana ya, saya punya pulsa tp emgga aktifin datanya. TibaÃ‚Â² pulsa saya kesedot banyak, apa memang begitu apa gimana ya?&quot;"/>
    <x v="0"/>
    <x v="0"/>
    <x v="0"/>
    <s v="-1.0"/>
    <s v="NULL"/>
    <s v="Neutral"/>
    <x v="0"/>
    <x v="1"/>
    <s v="Positif"/>
  </r>
  <r>
    <x v="160"/>
    <x v="3"/>
    <x v="5"/>
    <d v="1899-12-30T06:45:00"/>
    <s v="&quot;Beberapa hari ini sinyal nya lemot banget, padahal bar sinyal nya penuh, mohon untuk segera di perbaiki&quot;"/>
    <x v="0"/>
    <x v="0"/>
    <x v="0"/>
    <s v="-1.0"/>
    <s v="NULL"/>
    <s v="Neutral"/>
    <x v="0"/>
    <x v="1"/>
    <s v="Positif"/>
  </r>
  <r>
    <x v="161"/>
    <x v="1"/>
    <x v="5"/>
    <d v="1899-12-30T04:22:00"/>
    <s v="&quot;ini app pembodohan... sebelum donlod ada iklan 59 rb dpt 10+10+kuota lokal. setelah donlod dicari2 ga ada...hebatlah tukang sulap..&quot;"/>
    <x v="0"/>
    <x v="0"/>
    <x v="0"/>
    <s v="-1.0"/>
    <s v="NULL"/>
    <s v="Neutral"/>
    <x v="0"/>
    <x v="1"/>
    <s v="Positif"/>
  </r>
  <r>
    <x v="162"/>
    <x v="2"/>
    <x v="5"/>
    <d v="1899-12-30T03:47:00"/>
    <s v="&quot;Kenapa pembayaran melalui BRI selalu susah,, kesalahan Virtual Accaunt,, kesalahan transaksi sebelumnya,,kode 135 ,, tolong dong perbaiki,,&quot;"/>
    <x v="0"/>
    <x v="0"/>
    <x v="0"/>
    <s v="-1.0"/>
    <s v="NULL"/>
    <s v="Neutral"/>
    <x v="0"/>
    <x v="1"/>
    <s v="Positif"/>
  </r>
  <r>
    <x v="163"/>
    <x v="2"/>
    <x v="5"/>
    <d v="1899-12-30T03:37:00"/>
    <s v="&quot;lebih ditingkatkan LG kualitas sinyal di pelosok pelosok biar makin banyak pengguna xl&quot;"/>
    <x v="1"/>
    <x v="1"/>
    <x v="1"/>
    <s v="0.0"/>
    <s v="NULL"/>
    <s v="Neutral"/>
    <x v="1"/>
    <x v="1"/>
    <s v="Netral"/>
  </r>
  <r>
    <x v="164"/>
    <x v="1"/>
    <x v="5"/>
    <d v="1899-12-30T03:09:00"/>
    <s v="&quot;Kembalikan pulsa saya...kuota masih banyak malah pulsa yg terpotong...&quot;"/>
    <x v="0"/>
    <x v="0"/>
    <x v="0"/>
    <s v="-1.0"/>
    <s v="NULL"/>
    <s v="Neutral"/>
    <x v="0"/>
    <x v="1"/>
    <s v="Positif"/>
  </r>
  <r>
    <x v="165"/>
    <x v="3"/>
    <x v="5"/>
    <d v="1899-12-30T23:41:00"/>
    <s v="&quot;Hallo pihak my XL, mohon maaf saya punya keluhan, jadi keluhannya mohon jikalau saya beli paket berupa voucher itu paketnya jangan dibagi bagi, mungkin kalau pembagianya ke paket internet 24 jam sih tidak masalah, akan tetapi ini itu paket malam apalagi yg di paket malam itu banyak yg kebagi kesitu, contoh saya beli 6GB 2 GB lokal 2GB dan 2GB malam nah ini nih seharusnya paket malam itu yg kebagi cuman 1GB saja jangan terlalu ya dan mohon maaf jikalau saya bersalah, mohon di tanggapi.&quot;"/>
    <x v="1"/>
    <x v="1"/>
    <x v="1"/>
    <s v="0.0"/>
    <s v="NULL"/>
    <s v="Negative"/>
    <x v="1"/>
    <x v="0"/>
    <s v="Netral"/>
  </r>
  <r>
    <x v="166"/>
    <x v="1"/>
    <x v="5"/>
    <d v="1899-12-30T01:59:00"/>
    <s v="&quot;Ni Apk makin di update, makin berat &amp; susah untuk di buka.&quot;"/>
    <x v="0"/>
    <x v="0"/>
    <x v="0"/>
    <s v="-1.0"/>
    <s v="NULL"/>
    <s v="Neutral"/>
    <x v="0"/>
    <x v="1"/>
    <s v="Positif"/>
  </r>
  <r>
    <x v="167"/>
    <x v="2"/>
    <x v="5"/>
    <d v="1899-12-30T01:31:00"/>
    <s v="&quot;gooddd, memuaskan.. cuman jaringan sinyalnya perlu di perbaiki,.. masih ad trobel&quot;nya&quot;"/>
    <x v="2"/>
    <x v="2"/>
    <x v="2"/>
    <s v="1.0"/>
    <s v="NULL"/>
    <s v="Neutral"/>
    <x v="0"/>
    <x v="1"/>
    <s v="Positif"/>
  </r>
  <r>
    <x v="168"/>
    <x v="1"/>
    <x v="5"/>
    <d v="1899-12-30T01:00:00"/>
    <s v="&quot;Kenapa xl makin kesini makin buruk aja dari signyalnya info paketanya,tolong signyal di wilayah semarang-batang-pekalongan di pertimbangkan lagi agar kami cukup puas terutama buat game kenapa sangat lelet si,signyal merah mulu jadi sia-sia beli paketan banyak tapi tidak bisa di gunakan.mari kita turunkan rate bintangnya biar tau apa kendala kita saat ini tetapi tidak ada perubahan sama sekali&quot;"/>
    <x v="0"/>
    <x v="0"/>
    <x v="0"/>
    <s v="-1.0"/>
    <s v="NULL"/>
    <s v="Neutral"/>
    <x v="0"/>
    <x v="1"/>
    <s v="Positif"/>
  </r>
  <r>
    <x v="169"/>
    <x v="1"/>
    <x v="5"/>
    <d v="1899-12-30T17:29:00"/>
    <s v="&quot;Aplikasi buat maling kuota, fitur transfer kuota buat apa?, masuk ke aplikasi nama nya aryo sanjaya kan gblk&quot;"/>
    <x v="0"/>
    <x v="0"/>
    <x v="0"/>
    <s v="-1.0"/>
    <s v="NULL"/>
    <s v="Neutral"/>
    <x v="0"/>
    <x v="1"/>
    <s v="Positif"/>
  </r>
  <r>
    <x v="170"/>
    <x v="1"/>
    <x v="5"/>
    <d v="1899-12-30T15:43:00"/>
    <s v="&quot;XL terkesan menipu para penggunanya Masa setiap ada promo di myXL sudah di kelik paket promo yang dipilih harganya tetep normal? Aneh&quot;"/>
    <x v="0"/>
    <x v="0"/>
    <x v="0"/>
    <s v="-1.0"/>
    <s v="NULL"/>
    <s v="Neutral"/>
    <x v="0"/>
    <x v="1"/>
    <s v="Positif"/>
  </r>
  <r>
    <x v="171"/>
    <x v="0"/>
    <x v="5"/>
    <d v="1899-12-30T14:43:00"/>
    <s v="&quot;lebih praktis gak usah pusing ke habisan kuota !!!!!!!&quot;"/>
    <x v="2"/>
    <x v="2"/>
    <x v="2"/>
    <s v="1.0"/>
    <s v="NULL"/>
    <s v="Neutral"/>
    <x v="0"/>
    <x v="1"/>
    <s v="Positif"/>
  </r>
  <r>
    <x v="172"/>
    <x v="1"/>
    <x v="5"/>
    <d v="1899-12-30T14:43:00"/>
    <s v="&quot;Mending jangan pake aplikasi dah kalo nyusahin satu pengguna xl mah yg bener dong kalo bikin aplikasi hahahaha kalo bisa kata kata yg kasar gw ketik nih hahaaha&quot;"/>
    <x v="0"/>
    <x v="0"/>
    <x v="0"/>
    <s v="-1.0"/>
    <s v="NULL"/>
    <s v="Neutral"/>
    <x v="0"/>
    <x v="1"/>
    <s v="Positif"/>
  </r>
  <r>
    <x v="173"/>
    <x v="0"/>
    <x v="5"/>
    <d v="1899-12-30T14:34:00"/>
    <s v="&quot;Saya coba masuk ke aplikasi my xl kok susah sekali udah puluhan x cobak masuk selalu sedang terjadi kesalaahan. Padahal baru beli paket,&quot;"/>
    <x v="1"/>
    <x v="1"/>
    <x v="1"/>
    <s v="0.0"/>
    <s v="NULL"/>
    <s v="Neutral"/>
    <x v="1"/>
    <x v="1"/>
    <s v="Netral"/>
  </r>
  <r>
    <x v="174"/>
    <x v="0"/>
    <x v="5"/>
    <d v="1899-12-30T14:32:00"/>
    <s v="&quot;sering&quot; adain promo bagi pengguna yg sering melakukan pengisian pulsa&quot;"/>
    <x v="1"/>
    <x v="1"/>
    <x v="1"/>
    <s v="0.0"/>
    <s v="NULL"/>
    <s v="Neutral"/>
    <x v="1"/>
    <x v="1"/>
    <s v="Netral"/>
  </r>
  <r>
    <x v="175"/>
    <x v="0"/>
    <x v="5"/>
    <d v="1899-12-30T14:24:00"/>
    <s v="&quot;Kenapa ya kalau habis Kuota di atas jam 19.00 selalu ga bisa paketin data?? Sudah berkali2 seperti ini.mohon dibenahi kembali sistemnya&quot;"/>
    <x v="1"/>
    <x v="1"/>
    <x v="1"/>
    <s v="0.0"/>
    <s v="NULL"/>
    <s v="Neutral"/>
    <x v="1"/>
    <x v="1"/>
    <s v="Netral"/>
  </r>
  <r>
    <x v="176"/>
    <x v="1"/>
    <x v="5"/>
    <d v="1899-12-30T14:20:00"/>
    <s v="&quot;sumpah abis update. malah sinyalnya bobrok. kagak padahal bar penuh. itu gimna dah.&quot;"/>
    <x v="0"/>
    <x v="0"/>
    <x v="0"/>
    <s v="-1.0"/>
    <s v="NULL"/>
    <s v="Neutral"/>
    <x v="0"/>
    <x v="1"/>
    <s v="Positif"/>
  </r>
  <r>
    <x v="177"/>
    <x v="1"/>
    <x v="5"/>
    <d v="1899-12-30T14:16:00"/>
    <s v="&quot;Tolong jaringan nya diperbaiki lagi...dulu XL bagus untuk browsing, gaming, streaming , sekarang di pake gaming nge lag mulu....jadi males beli/pake kartu XL lagi&quot;"/>
    <x v="0"/>
    <x v="0"/>
    <x v="0"/>
    <s v="-1.0"/>
    <s v="NULL"/>
    <s v="Negative"/>
    <x v="0"/>
    <x v="0"/>
    <s v="Positif"/>
  </r>
  <r>
    <x v="178"/>
    <x v="1"/>
    <x v="5"/>
    <d v="1899-12-30T13:33:00"/>
    <s v="&quot;makin sini makin lemot, parah si kalo emang ga niat benerin mending gausa nyediain layanan internet. Dah seminggu lemot, padahal 4G bar nya pun full. Kecewa parah.&quot;"/>
    <x v="0"/>
    <x v="0"/>
    <x v="0"/>
    <s v="-1.0"/>
    <s v="NULL"/>
    <s v="Neutral"/>
    <x v="0"/>
    <x v="1"/>
    <s v="Positif"/>
  </r>
  <r>
    <x v="179"/>
    <x v="1"/>
    <x v="5"/>
    <d v="1899-12-30T12:38:00"/>
    <s v="&quot;semoga xl memberikan reward untuk pelanggan dan gratisan kuota yang melimpah&quot;"/>
    <x v="1"/>
    <x v="1"/>
    <x v="1"/>
    <s v="0.0"/>
    <s v="NULL"/>
    <s v="Positive"/>
    <x v="1"/>
    <x v="2"/>
    <s v="Netral"/>
  </r>
  <r>
    <x v="180"/>
    <x v="3"/>
    <x v="5"/>
    <d v="1899-12-30T12:37:00"/>
    <s v="&quot;Saya harap myXL ada fitur kunci pulsa seperti di aplikasi Axisnet jdi pulsa tetap aman tdk trpotong otomatis ketika kuota habis tpi data nyala.&quot;"/>
    <x v="1"/>
    <x v="1"/>
    <x v="1"/>
    <s v="0.0"/>
    <s v="NULL"/>
    <s v="Neutral"/>
    <x v="1"/>
    <x v="1"/>
    <s v="Netral"/>
  </r>
  <r>
    <x v="181"/>
    <x v="3"/>
    <x v="5"/>
    <d v="1899-12-30T12:25:00"/>
    <s v="&quot;Sinyalnya serasa gak ada kuota dan Bagusnya cuma sore sinyalnya Tolong bisa diperbaiki Nanti aku kasih bintang 5&quot;"/>
    <x v="1"/>
    <x v="1"/>
    <x v="1"/>
    <s v="0.0"/>
    <s v="NULL"/>
    <s v="Negative"/>
    <x v="1"/>
    <x v="0"/>
    <s v="Netral"/>
  </r>
  <r>
    <x v="182"/>
    <x v="4"/>
    <x v="5"/>
    <d v="1899-12-30T12:04:00"/>
    <s v="&quot;Assalamualaikum, selamat malam admin. Kemarin aku beli paket internet 9 GB harga 20k pulsa nya hilang tapi paketanya tidak masuk. Itu kenapa?&quot;"/>
    <x v="1"/>
    <x v="1"/>
    <x v="1"/>
    <s v="0.0"/>
    <s v="NULL"/>
    <s v="Neutral"/>
    <x v="1"/>
    <x v="1"/>
    <s v="Netral"/>
  </r>
  <r>
    <x v="183"/>
    <x v="0"/>
    <x v="5"/>
    <d v="1899-12-30T11:56:00"/>
    <s v="&quot;Tolong sinyal XL y diperkuat.. Daerah Karangmalang Karangsembung...sinyal ga stabil.. Mau banyak pelanggan, tolong sinyal yang kuat dan paket data yg murah..&quot;"/>
    <x v="0"/>
    <x v="0"/>
    <x v="0"/>
    <s v="-1.0"/>
    <s v="NULL"/>
    <s v="Neutral"/>
    <x v="0"/>
    <x v="1"/>
    <s v="Positif"/>
  </r>
  <r>
    <x v="184"/>
    <x v="1"/>
    <x v="5"/>
    <d v="1899-12-30T10:41:00"/>
    <s v="&quot;ini knp si dari kmarin sinyal nya gjls pdhl full sinya,paket juga ada masa hrus mode pswat matiin data idupin lgi, sinyal nya gjls lama&quot;bikin ribet klo lgi ada penting gbisa dipke&quot;"/>
    <x v="0"/>
    <x v="0"/>
    <x v="0"/>
    <s v="-1.0"/>
    <s v="NULL"/>
    <s v="Neutral"/>
    <x v="0"/>
    <x v="1"/>
    <s v="Positif"/>
  </r>
  <r>
    <x v="185"/>
    <x v="1"/>
    <x v="5"/>
    <d v="1899-12-30T00:26:00"/>
    <s v="&quot;Parah sinyalnya,, lelet banget. padahal full sinyal full, tp lemot parah.&quot;"/>
    <x v="0"/>
    <x v="0"/>
    <x v="0"/>
    <s v="-1.0"/>
    <s v="NULL"/>
    <s v="Neutral"/>
    <x v="0"/>
    <x v="1"/>
    <s v="Positif"/>
  </r>
  <r>
    <x v="186"/>
    <x v="2"/>
    <x v="6"/>
    <d v="1899-12-30T09:40:00"/>
    <s v="&quot;Sangat bagus dan mantap .. tapi buat main game CODM tidak cocok ..&quot;"/>
    <x v="2"/>
    <x v="2"/>
    <x v="2"/>
    <s v="1.0"/>
    <s v="NULL"/>
    <s v="Neutral"/>
    <x v="0"/>
    <x v="1"/>
    <s v="Positif"/>
  </r>
  <r>
    <x v="187"/>
    <x v="1"/>
    <x v="6"/>
    <d v="1899-12-30T09:33:00"/>
    <s v="&quot;Semakin kesini smakin gila,,unlimited yutub kok udah ga ada ya,,abis paket ini q buang nih xl ganti telkomsel aj lagiÃ°Å¸â€˜Å½Ã°Å¸â€˜Å½Ã°Å¸â€˜Å½Ã°Å¸â€˜Å½Ã°Å¸â€˜Å½Ã°Å¸â€˜Å½Ã°Å¸â€˜Å½Ã°Å¸â€˜Å½Ã°Å¸â€˜Å½Ã°Å¸â€˜Å½&quot;"/>
    <x v="0"/>
    <x v="0"/>
    <x v="0"/>
    <s v="-1.0"/>
    <s v="NULL"/>
    <s v="Neutral"/>
    <x v="0"/>
    <x v="1"/>
    <s v="Positif"/>
  </r>
  <r>
    <x v="188"/>
    <x v="2"/>
    <x v="6"/>
    <d v="1899-12-30T06:44:00"/>
    <s v="&quot;Gue kasih bintang 5 agar jaringan gue gak hilang hilang mulu kalo masih hilang hilang gue kasih bintang 1&quot;"/>
    <x v="2"/>
    <x v="2"/>
    <x v="2"/>
    <s v="1.0"/>
    <s v="NULL"/>
    <s v="Neutral"/>
    <x v="0"/>
    <x v="1"/>
    <s v="Positif"/>
  </r>
  <r>
    <x v="189"/>
    <x v="1"/>
    <x v="6"/>
    <d v="1899-12-30T05:47:00"/>
    <s v="&quot;Jaringan sangat buruk. Kuota dan pulsa bisa hilang begitu saja. Komplain sana sini gk ada jawaban. Ada gk sih yg bintang nya kurang dari 1. Ngasih 1 bintang aja kaya susah banget. Busuk bener xl&quot;"/>
    <x v="0"/>
    <x v="0"/>
    <x v="0"/>
    <s v="-1.0"/>
    <s v="NULL"/>
    <s v="Neutral"/>
    <x v="0"/>
    <x v="1"/>
    <s v="Positif"/>
  </r>
  <r>
    <x v="190"/>
    <x v="1"/>
    <x v="6"/>
    <d v="1899-12-30T05:44:00"/>
    <s v="&quot;Xl.sekarang sinyalnya buruk.beli paket mahal mahal.tapi dapat sinyal kualitas buruk.apa lagi kalo udah mau menjelang malam.&quot;"/>
    <x v="0"/>
    <x v="0"/>
    <x v="0"/>
    <s v="-1.0"/>
    <s v="NULL"/>
    <s v="Neutral"/>
    <x v="0"/>
    <x v="1"/>
    <s v="Positif"/>
  </r>
  <r>
    <x v="191"/>
    <x v="2"/>
    <x v="6"/>
    <d v="1899-12-30T05:13:00"/>
    <s v="&quot;Baru update apk my XL pas di buka ada fitur baru yang worth it. Mantep deh ni apk, buat bug ga ketemu lagi sih moga XL bisa jadi lebih baik lagi&quot;"/>
    <x v="2"/>
    <x v="2"/>
    <x v="2"/>
    <s v="1.0"/>
    <s v="NULL"/>
    <s v="Positive"/>
    <x v="0"/>
    <x v="2"/>
    <s v="Positif"/>
  </r>
  <r>
    <x v="192"/>
    <x v="1"/>
    <x v="6"/>
    <d v="1899-12-30T04:07:00"/>
    <s v="&quot;Paket Unlimited XL itamanya pasca bayar yang berbasis FUP bisa dikatakan sebagai Paket Pemanis belaka. Krn pd saat FUP 0 kecepatan 95% turun. Ã°Å¸Â¤â€ Kebijakan menahan kartu pasca bayar dan tidak dapat migrasi ke pra bayar merupakan kebijakan tidak pro pelanggan. Sinyal sering kali down tiba-tiba, pd saat komplen ngasih saran basa basi disuruh restart, matikan HP, dll. Padahal yg bermasalah BTS-nya. Ã°Å¸â„¢Ë†Ã°Å¸Ëœâ€ž&quot;"/>
    <x v="0"/>
    <x v="0"/>
    <x v="0"/>
    <s v="-1.0"/>
    <s v="NULL"/>
    <s v="Neutral"/>
    <x v="0"/>
    <x v="1"/>
    <s v="Positif"/>
  </r>
  <r>
    <x v="193"/>
    <x v="1"/>
    <x v="6"/>
    <d v="1899-12-30T02:42:00"/>
    <s v="&quot;Xl semakin gak jelas, Ngasih bonus juga gak jelas,bonus belom dipake hilang, Sinyal juga buruk, Apa kah ada hek, Kalo ada fitur xl keamanan nya di perbarui biar tidak merugikan pelangan xl,&quot;"/>
    <x v="0"/>
    <x v="0"/>
    <x v="0"/>
    <s v="-1.0"/>
    <s v="NULL"/>
    <s v="Positive"/>
    <x v="0"/>
    <x v="2"/>
    <s v="Positif"/>
  </r>
  <r>
    <x v="194"/>
    <x v="1"/>
    <x v="6"/>
    <d v="1899-12-30T02:24:00"/>
    <s v="&quot;Walaupun sudah LTE tetep aja lemot untuk wilayah Kalimantan Selatan tanah bumbu Angsana gak stabil Jauh dari harapan&quot;"/>
    <x v="0"/>
    <x v="0"/>
    <x v="0"/>
    <s v="-1.0"/>
    <s v="NULL"/>
    <s v="Neutral"/>
    <x v="0"/>
    <x v="1"/>
    <s v="Positif"/>
  </r>
  <r>
    <x v="195"/>
    <x v="2"/>
    <x v="6"/>
    <d v="1899-12-30T21:10:00"/>
    <s v="&quot;mantul... sangat membantu dengan harga yg irit di kantong..Ã°Å¸Â¤â„¢&quot;"/>
    <x v="2"/>
    <x v="2"/>
    <x v="2"/>
    <s v="1.0"/>
    <s v="NULL"/>
    <s v="Neutral"/>
    <x v="0"/>
    <x v="1"/>
    <s v="Positif"/>
  </r>
  <r>
    <x v="196"/>
    <x v="0"/>
    <x v="6"/>
    <d v="1899-12-30T01:58:00"/>
    <s v="&quot;di sukahati,citeureup bogor,sinyalnya lemah,tolong pelayanannya di tingkatkan.&quot;"/>
    <x v="0"/>
    <x v="0"/>
    <x v="0"/>
    <s v="-1.0"/>
    <s v="NULL"/>
    <s v="Neutral"/>
    <x v="0"/>
    <x v="1"/>
    <s v="Positif"/>
  </r>
  <r>
    <x v="197"/>
    <x v="2"/>
    <x v="6"/>
    <d v="1899-12-30T18:46:00"/>
    <s v="&quot;saya sangat puas dengan pelayanan xl selain jaringan cepat dan tidak lelet kerjaan saya jadi lancar&quot;"/>
    <x v="2"/>
    <x v="2"/>
    <x v="2"/>
    <s v="1.0"/>
    <s v="NULL"/>
    <s v="Neutral"/>
    <x v="0"/>
    <x v="1"/>
    <s v="Positif"/>
  </r>
  <r>
    <x v="198"/>
    <x v="4"/>
    <x v="6"/>
    <d v="1899-12-30T16:00:00"/>
    <s v="&quot;tolong donk jaringan XL didaerah kedung pengawas kab.bekasi ditingkatkan lagi, masa tiap hujan dikit susah banget buat online..sebelum musim hujan sii ok jaringannya. klo udh ok ditambahin lagi bintangnya&quot;"/>
    <x v="0"/>
    <x v="0"/>
    <x v="0"/>
    <s v="-1.0"/>
    <s v="NULL"/>
    <s v="Positive"/>
    <x v="0"/>
    <x v="2"/>
    <s v="Positif"/>
  </r>
  <r>
    <x v="199"/>
    <x v="1"/>
    <x v="6"/>
    <d v="1899-12-30T15:54:00"/>
    <s v="&quot;Parah, XL sekarang parah benerrr.. masa iya aplksinya susah banget di buka, mana keluar mulu lagi ngeselin parah. Terlalu berat bebannya nih kayaknya, katanya prioritas tapi malah dibikin emosi mulu, apanya yg prioritas cobaÃ°Å¸ËœÂ¬Ã°Å¸ËœÂ¬ belom lagi kendala sinyal yang sekrang lemotnya masya Allah, padahal tower XL samping rumah loh, kok bisa sinyal XL gk bagus bener&quot; beda dari yang dlu. Pokoknya XL kalau bisa lebih amanah laginya, aplikasinya juga diringankan dong jangan berat&quot; susah banget dah bukanya.&quot;"/>
    <x v="0"/>
    <x v="0"/>
    <x v="0"/>
    <s v="-1.0"/>
    <s v="NULL"/>
    <s v="Neutral"/>
    <x v="0"/>
    <x v="1"/>
    <s v="Positif"/>
  </r>
  <r>
    <x v="200"/>
    <x v="2"/>
    <x v="6"/>
    <d v="1899-12-30T15:18:00"/>
    <s v="&quot;sangat senang memakai apk ini ,banyak sekali promo dan murah&quot;"/>
    <x v="2"/>
    <x v="2"/>
    <x v="2"/>
    <s v="1.0"/>
    <s v="NULL"/>
    <s v="Neutral"/>
    <x v="0"/>
    <x v="1"/>
    <s v="Positif"/>
  </r>
  <r>
    <x v="201"/>
    <x v="3"/>
    <x v="6"/>
    <d v="1899-12-30T14:29:00"/>
    <s v="&quot;Skrng gk pernah beli paket data xl, dimana mana skrng lemot sinyal nya parah, ini beli paket nelpon cuma biar gk hangus aja nih nomor..&quot;"/>
    <x v="0"/>
    <x v="0"/>
    <x v="0"/>
    <s v="-1.0"/>
    <s v="NULL"/>
    <s v="Neutral"/>
    <x v="0"/>
    <x v="1"/>
    <s v="Positif"/>
  </r>
  <r>
    <x v="202"/>
    <x v="3"/>
    <x v="6"/>
    <d v="1899-12-30T13:28:00"/>
    <s v="&quot;Aplikasi berat sering lag beda sama axisnet yang enteng kalo gak berat lagi gw tambahin bintangnya&quot;"/>
    <x v="0"/>
    <x v="0"/>
    <x v="0"/>
    <s v="-1.0"/>
    <s v="NULL"/>
    <s v="Negative"/>
    <x v="0"/>
    <x v="0"/>
    <s v="Positif"/>
  </r>
  <r>
    <x v="203"/>
    <x v="1"/>
    <x v="6"/>
    <d v="1899-12-30T13:08:00"/>
    <s v="&quot;Jelek parah penanganan keluhan chat live melalui my xl, super lemot, jawabannya mengulang ulang, disuruh menunggu bolak balik, menunggu 1x 2x mungkin gk masalah, lha ini berulang kali, jelek parah pelayanannya, beli paket extra combo vip plus, bonusnya gak sesuai, ini sama saja PENIPUAN.!!!!!!&quot;"/>
    <x v="0"/>
    <x v="0"/>
    <x v="0"/>
    <s v="-1.0"/>
    <s v="NULL"/>
    <s v="Positive"/>
    <x v="0"/>
    <x v="2"/>
    <s v="Positif"/>
  </r>
  <r>
    <x v="204"/>
    <x v="3"/>
    <x v="6"/>
    <d v="1899-12-30T12:28:00"/>
    <s v="&quot;Knp didownload ..di upgrade msh tidak bisa masuk k halaman layar hp.. Kl maw cek kuota masuk playstore dl cari my xl..&quot;"/>
    <x v="0"/>
    <x v="0"/>
    <x v="0"/>
    <s v="-1.0"/>
    <s v="NULL"/>
    <s v="Neutral"/>
    <x v="0"/>
    <x v="1"/>
    <s v="Positif"/>
  </r>
  <r>
    <x v="205"/>
    <x v="3"/>
    <x v="6"/>
    <d v="1899-12-30T11:21:00"/>
    <s v="&quot;Buka myxl susah sekali,harus pakai wifi operator lain baru bisa dibuka. Padahal aplikasi lancarÃ‚Â² aja&quot;"/>
    <x v="0"/>
    <x v="0"/>
    <x v="0"/>
    <s v="-1.0"/>
    <s v="NULL"/>
    <s v="Neutral"/>
    <x v="0"/>
    <x v="1"/>
    <s v="Positif"/>
  </r>
  <r>
    <x v="206"/>
    <x v="1"/>
    <x v="6"/>
    <d v="1899-12-30T10:46:00"/>
    <s v="&quot;Hujan ngeleg, gerimis ngeleg, najis bener sumpah, padahal XL udh dari dulu jaman GPRS, 3G, tpi sekarang 4G berasa 3G, monyet bener ccuuuiiihhh&quot;"/>
    <x v="0"/>
    <x v="0"/>
    <x v="0"/>
    <s v="-1.0"/>
    <s v="NULL"/>
    <s v="Neutral"/>
    <x v="0"/>
    <x v="1"/>
    <s v="Positif"/>
  </r>
  <r>
    <x v="207"/>
    <x v="3"/>
    <x v="6"/>
    <d v="1899-12-30T00:28:00"/>
    <s v="&quot;sinyalnya sering susah,,tolong donk di perbaiki lbih baik lg,,trimakasiih&quot;"/>
    <x v="0"/>
    <x v="0"/>
    <x v="0"/>
    <s v="-1.0"/>
    <s v="NULL"/>
    <s v="Neutral"/>
    <x v="0"/>
    <x v="1"/>
    <s v="Positif"/>
  </r>
  <r>
    <x v="208"/>
    <x v="1"/>
    <x v="7"/>
    <d v="1899-12-30T09:18:00"/>
    <s v="&quot;Internet klo lagi gak bisa lamanya berjam-jam. Fitur Live Chat nya gak bisa digunakan. Telp ke CS pun sibuk terus. Mao berhenti langganan mesti nunggu 1thn dulu. Ã°Å¸Â¥Â´&quot;"/>
    <x v="0"/>
    <x v="0"/>
    <x v="0"/>
    <s v="-1.0"/>
    <s v="NULL"/>
    <s v="Neutral"/>
    <x v="0"/>
    <x v="1"/>
    <s v="Positif"/>
  </r>
  <r>
    <x v="209"/>
    <x v="2"/>
    <x v="7"/>
    <d v="1899-12-30T09:09:00"/>
    <s v="&quot;Sekarang jadi agak mendingan soal jaringan tapi muncul lagi masalah apknya keseringan update&quot;"/>
    <x v="1"/>
    <x v="1"/>
    <x v="1"/>
    <s v="0.0"/>
    <s v="NULL"/>
    <s v="Neutral"/>
    <x v="1"/>
    <x v="1"/>
    <s v="Netral"/>
  </r>
  <r>
    <x v="210"/>
    <x v="3"/>
    <x v="7"/>
    <d v="1899-12-30T07:39:00"/>
    <s v="&quot;Xl klok memberi masa aktif nya kalah ama telkomsel lagi pula telkomsel lebih banyak lagi promo nya dari xl saya harap xl bisa memberikan lebih Terima kasihÃ°Å¸ËœÂ&quot;"/>
    <x v="0"/>
    <x v="0"/>
    <x v="0"/>
    <s v="-1.0"/>
    <s v="NULL"/>
    <s v="Neutral"/>
    <x v="0"/>
    <x v="1"/>
    <s v="Positif"/>
  </r>
  <r>
    <x v="211"/>
    <x v="0"/>
    <x v="7"/>
    <d v="1899-12-30T07:04:00"/>
    <s v="&quot;Ã¢Â­Â 4 dulu, kalau diskon kuota nya konsisten nanti saya kasih Ã¢Â­Â 5. Terimakasih myXL&quot;"/>
    <x v="2"/>
    <x v="2"/>
    <x v="2"/>
    <s v="1.0"/>
    <s v="NULL"/>
    <s v="Neutral"/>
    <x v="0"/>
    <x v="1"/>
    <s v="Positif"/>
  </r>
  <r>
    <x v="212"/>
    <x v="2"/>
    <x v="7"/>
    <d v="1899-12-30T05:56:00"/>
    <s v="&quot;Terimakasih myXL baik banget sama penggunanya sampai kasih bonus Ã°Å¸ËœÂ­ Saya juga merasa aman jika memakai XL, tidak seperti provider yg lain lagi lagi browsing bentar malah kena SMS langganan, oh iya buat kalian yg beli paket tapi dapet sedikit please baca keterangan paket yg mau kamu beli ( Indonesia darurat membaca ) semoga XL semakin di depan.&quot;"/>
    <x v="2"/>
    <x v="2"/>
    <x v="2"/>
    <s v="1.0"/>
    <s v="NULL"/>
    <s v="Positive"/>
    <x v="0"/>
    <x v="2"/>
    <s v="Positif"/>
  </r>
  <r>
    <x v="213"/>
    <x v="2"/>
    <x v="7"/>
    <d v="1899-12-30T05:15:00"/>
    <s v="&quot;Ã°Å¸â€˜ÂÃ°Å¸â€˜ÂÃ°Å¸â€˜ÂÃ°Å¸â€˜ÂÃ°Å¸â€˜Â saya sangat rekomendasi sekali bagi kalian kaum boke yang ingin Kouta besar pake XL soal nya setiap pake XL kalian pasti menang promo rekomendasi banget lah pokonya untuk sinyal di desa Ku lumaya cepat bisa sampai 10mb perdetik kalo nge download&quot;"/>
    <x v="2"/>
    <x v="2"/>
    <x v="2"/>
    <s v="1.0"/>
    <s v="NULL"/>
    <s v="Neutral"/>
    <x v="0"/>
    <x v="1"/>
    <s v="Positif"/>
  </r>
  <r>
    <x v="214"/>
    <x v="1"/>
    <x v="7"/>
    <d v="1899-12-30T05:08:00"/>
    <s v="&quot;Saya merasa kecewa dengan xl. Sudah berapa kali ada diskon dan saya ingin membeli dengan pulsa tapi, ketika ingin membeli pulsa diskonya ilang. Sangat merugikan&quot;"/>
    <x v="0"/>
    <x v="0"/>
    <x v="0"/>
    <s v="-1.0"/>
    <s v="NULL"/>
    <s v="Neutral"/>
    <x v="0"/>
    <x v="1"/>
    <s v="Positif"/>
  </r>
  <r>
    <x v="215"/>
    <x v="0"/>
    <x v="7"/>
    <d v="1899-12-30T22:38:00"/>
    <s v="&quot;semua mudah di lakukan dengan aplikasi ini banyak membantu jika mau pilih paket data dan banyak bonusnya...&quot;"/>
    <x v="2"/>
    <x v="2"/>
    <x v="2"/>
    <s v="1.0"/>
    <s v="NULL"/>
    <s v="Neutral"/>
    <x v="0"/>
    <x v="1"/>
    <s v="Positif"/>
  </r>
  <r>
    <x v="216"/>
    <x v="1"/>
    <x v="7"/>
    <d v="1899-12-30T22:27:00"/>
    <s v="&quot;Buruk sekali pelayanan XL pertanyaan tidak terjawab.. Hanya mesin penjawab yang ngobrol dengan kita.. Telpon cs 817 diputus total tapi pelayanan chat buruk hanya mesin mesin penjawab yg menerima..&quot;"/>
    <x v="0"/>
    <x v="0"/>
    <x v="0"/>
    <s v="-1.0"/>
    <s v="NULL"/>
    <s v="Neutral"/>
    <x v="0"/>
    <x v="1"/>
    <s v="Positif"/>
  </r>
  <r>
    <x v="217"/>
    <x v="1"/>
    <x v="7"/>
    <d v="1899-12-30T17:27:00"/>
    <s v="&quot;Tooong dong, dibenahi. Jaringan aplikasi ini . Hampir 1 jam gak selesai2 bisa buka aplikasi xl ini. Sial....&quot;"/>
    <x v="0"/>
    <x v="0"/>
    <x v="0"/>
    <s v="-1.0"/>
    <s v="NULL"/>
    <s v="Neutral"/>
    <x v="0"/>
    <x v="1"/>
    <s v="Positif"/>
  </r>
  <r>
    <x v="218"/>
    <x v="1"/>
    <x v="7"/>
    <d v="1899-12-30T17:18:00"/>
    <s v="&quot;Pulsa saya terus di potong saat isi ulang... Padahal data saya nga di nyalain&quot;"/>
    <x v="0"/>
    <x v="0"/>
    <x v="0"/>
    <s v="-1.0"/>
    <s v="NULL"/>
    <s v="Neutral"/>
    <x v="0"/>
    <x v="1"/>
    <s v="Positif"/>
  </r>
  <r>
    <x v="219"/>
    <x v="1"/>
    <x v="7"/>
    <d v="1899-12-30T16:03:00"/>
    <s v="&quot;Jaringan XL di pabuaran bojonggede, bogor payah saat mau donlot myxl dari playstore malah muter2 alias loding..gmn mau kasih bintang 5 ke mbak maya...jaringan xl mhn agar diperbaiki lagi..kalo mau dijawab keluhan pelanggan jgn pake sistem atau mesin robot&quot;"/>
    <x v="0"/>
    <x v="0"/>
    <x v="0"/>
    <s v="-1.0"/>
    <s v="NULL"/>
    <s v="Neutral"/>
    <x v="0"/>
    <x v="1"/>
    <s v="Positif"/>
  </r>
  <r>
    <x v="220"/>
    <x v="2"/>
    <x v="7"/>
    <d v="1899-12-30T16:03:00"/>
    <s v="&quot;Saya pengguna sejak dari dulu tapi kenapa akhir&quot; ini jaringan sering eror. Kecewa juga akhirnya&quot;"/>
    <x v="0"/>
    <x v="0"/>
    <x v="0"/>
    <s v="-1.0"/>
    <s v="NULL"/>
    <s v="Neutral"/>
    <x v="0"/>
    <x v="1"/>
    <s v="Positif"/>
  </r>
  <r>
    <x v="221"/>
    <x v="3"/>
    <x v="7"/>
    <d v="1899-12-30T14:58:00"/>
    <s v="&quot;Lag mulu buat main game onnline malah ke restart mulu, lemot klo loading lama, klo hujan jg tambah parah jadi gak mood buat make hp, tolong di atasi supaya lebih baik, hp saya kasian saya banting mulu&quot;"/>
    <x v="0"/>
    <x v="0"/>
    <x v="0"/>
    <s v="-1.0"/>
    <s v="NULL"/>
    <s v="Negative"/>
    <x v="0"/>
    <x v="0"/>
    <s v="Positif"/>
  </r>
  <r>
    <x v="222"/>
    <x v="2"/>
    <x v="7"/>
    <d v="1899-12-30T14:30:00"/>
    <s v="&quot;XL lebih memudahkan dalam berkomunikasi cepat praktis serta efisien dan terjangkau, semoga XL lebih maju lagi mengikuti perkembangan jaman dan lebih memudahkan dalam berkomunikasi antar pengguna, Terima kasih XL you are always the best&quot;"/>
    <x v="2"/>
    <x v="2"/>
    <x v="2"/>
    <s v="1.0"/>
    <s v="NULL"/>
    <s v="Positive"/>
    <x v="0"/>
    <x v="2"/>
    <s v="Positif"/>
  </r>
  <r>
    <x v="223"/>
    <x v="1"/>
    <x v="7"/>
    <d v="1899-12-30T14:28:00"/>
    <s v="&quot;sinyal internet makin lama makin busuk bukanya bagus, telepon CS jg percuma ujung&quot;nya cuma di suruh matiin hp doang, kalo tau kaya gini mendingan pindah ke telkomsel&quot;"/>
    <x v="0"/>
    <x v="0"/>
    <x v="0"/>
    <s v="-1.0"/>
    <s v="NULL"/>
    <s v="Neutral"/>
    <x v="0"/>
    <x v="1"/>
    <s v="Positif"/>
  </r>
  <r>
    <x v="224"/>
    <x v="1"/>
    <x v="7"/>
    <d v="1899-12-30T13:46:00"/>
    <s v="&quot;MAIN SEMUA GAME ONLINE LAG, PAYAH PAYAH PAYAH !!!! Halo XL mau bangkrut kah ? Sinyal gak stabil bikin lose streak ****** !!! Pdhal sya pemakai krtu XL lumayan lama,tapi lama klamaan ngcewain cok.&quot;"/>
    <x v="0"/>
    <x v="0"/>
    <x v="0"/>
    <s v="-1.0"/>
    <s v="NULL"/>
    <s v="Negative"/>
    <x v="0"/>
    <x v="0"/>
    <s v="Positif"/>
  </r>
  <r>
    <x v="225"/>
    <x v="2"/>
    <x v="7"/>
    <d v="1899-12-30T13:39:00"/>
    <s v="&quot;banyak diskon nya, MKS XL kuota untuk belajar daring anak saya.jangan pernah lelah memberikan diskon, supaya di masa pandemi ini ortu bisa membelikan kuota yang ramah dikantong...&quot;"/>
    <x v="2"/>
    <x v="2"/>
    <x v="2"/>
    <s v="1.0"/>
    <s v="NULL"/>
    <s v="Positive"/>
    <x v="0"/>
    <x v="2"/>
    <s v="Positif"/>
  </r>
  <r>
    <x v="226"/>
    <x v="2"/>
    <x v="7"/>
    <d v="1899-12-30T12:59:00"/>
    <s v="&quot;Sinyal xl,makin ke sini makin buruk. Trimakasih sekarang sudah bagus lagi sinyalnya walaupun ujan tetap lancar&quot;"/>
    <x v="2"/>
    <x v="2"/>
    <x v="2"/>
    <s v="1.0"/>
    <s v="NULL"/>
    <s v="Neutral"/>
    <x v="0"/>
    <x v="1"/>
    <s v="Positif"/>
  </r>
  <r>
    <x v="227"/>
    <x v="0"/>
    <x v="7"/>
    <d v="1899-12-30T12:37:00"/>
    <s v="&quot;aplikasi yang cukup membantu dan cepat dalam menanggapi permasalahan yang dihadapi pengguna&quot;"/>
    <x v="2"/>
    <x v="2"/>
    <x v="2"/>
    <s v="1.0"/>
    <s v="NULL"/>
    <s v="Neutral"/>
    <x v="0"/>
    <x v="1"/>
    <s v="Positif"/>
  </r>
  <r>
    <x v="228"/>
    <x v="0"/>
    <x v="7"/>
    <d v="1899-12-30T12:36:00"/>
    <s v="&quot;klw bisa,untuk melakukan transaksi bisa dengan BCA virtual account..juga ...&quot;"/>
    <x v="1"/>
    <x v="1"/>
    <x v="1"/>
    <s v="0.0"/>
    <s v="NULL"/>
    <s v="Neutral"/>
    <x v="1"/>
    <x v="1"/>
    <s v="Netral"/>
  </r>
  <r>
    <x v="229"/>
    <x v="2"/>
    <x v="7"/>
    <d v="1899-12-30T11:50:00"/>
    <s v="&quot;XL JELEK BUANGET padahal udh d kontrol pulsa masih aja bisaÃ‚Â² y pulsa saya d sedot padahal gak pernah minjem pulsa fix ganti kartu dan Yunistal&quot;"/>
    <x v="0"/>
    <x v="0"/>
    <x v="0"/>
    <s v="-1.0"/>
    <s v="NULL"/>
    <s v="Neutral"/>
    <x v="0"/>
    <x v="1"/>
    <s v="Positif"/>
  </r>
  <r>
    <x v="230"/>
    <x v="1"/>
    <x v="7"/>
    <d v="1899-12-30T11:37:00"/>
    <s v="&quot;jaringan internet semakin busuk.!!! sinyal 4g tapi gak bisa dipake, apalagi 3g.!!djancok.!!! mendingan pindah ke operator lain.!!&quot;"/>
    <x v="0"/>
    <x v="0"/>
    <x v="0"/>
    <s v="-1.0"/>
    <s v="NULL"/>
    <s v="Neutral"/>
    <x v="0"/>
    <x v="1"/>
    <s v="Positif"/>
  </r>
  <r>
    <x v="231"/>
    <x v="2"/>
    <x v="7"/>
    <d v="1899-12-30T10:46:00"/>
    <s v="&quot;lebih hemat,tapi saran kalau bisa kalau masih ada kuota seharusnya tidak hangus hehehe tx&quot;"/>
    <x v="2"/>
    <x v="2"/>
    <x v="2"/>
    <s v="1.0"/>
    <s v="NULL"/>
    <s v="Neutral"/>
    <x v="0"/>
    <x v="1"/>
    <s v="Positif"/>
  </r>
  <r>
    <x v="232"/>
    <x v="0"/>
    <x v="7"/>
    <d v="1899-12-30T10:30:00"/>
    <s v="&quot;Bisa cek kuota dgn simpel terbaikkkkkkkkkkkk!!!!!!!!!!!!!!!!!!!!!!!!!!!!!!!!!!!!!!!!!!!!!!!!!!!!!!!!!!!!!!!!!!!!!!!!!&quot;"/>
    <x v="2"/>
    <x v="2"/>
    <x v="2"/>
    <s v="1.0"/>
    <s v="NULL"/>
    <s v="Neutral"/>
    <x v="0"/>
    <x v="1"/>
    <s v="Positif"/>
  </r>
  <r>
    <x v="233"/>
    <x v="2"/>
    <x v="7"/>
    <d v="1899-12-30T00:17:00"/>
    <s v="&quot;Tolong ya, toloooong banget Ã°Å¸â„¢Â perbaiki masalah sinyal. Perluas lagi jangkauan 4G LTE nya. Ini susah banget di pakenya, padahal udah di restart juga masih lemot. Mohon dengan sangatÃ°Å¸â„¢ÂAku mendukung banget XL kok.&quot;"/>
    <x v="0"/>
    <x v="0"/>
    <x v="0"/>
    <s v="-1.0"/>
    <s v="NULL"/>
    <s v="Neutral"/>
    <x v="0"/>
    <x v="1"/>
    <s v="Positif"/>
  </r>
  <r>
    <x v="234"/>
    <x v="3"/>
    <x v="8"/>
    <d v="1899-12-30T09:57:00"/>
    <s v="&quot;pulsa sisa paketan selalu berkurang dan selalu ada SMS ga jelas yg nyedot pls biasa..&quot;"/>
    <x v="0"/>
    <x v="0"/>
    <x v="0"/>
    <s v="-1.0"/>
    <s v="NULL"/>
    <s v="Positive"/>
    <x v="0"/>
    <x v="2"/>
    <s v="Positif"/>
  </r>
  <r>
    <x v="235"/>
    <x v="2"/>
    <x v="8"/>
    <d v="1899-12-30T08:24:00"/>
    <s v="&quot;Untuk aplikasi ini sangat bermanfaat. Sebab awake dewe iso tau piro2nya paketan yang iseh ono,, dadine g angel2 untuk mengecek paketan. Hanya mlebu ke palikasi lalu cek paketan awake dw. Simple kok. Masalah jaringan. Nak ning daerahmu jelek ya tanyao sama temen2mu apa tetanggamu pake kartu apa bagaimana signalnya. Klo ndek daerah saya signale ngaceng trus e. Jadinya uwenak&quot;"/>
    <x v="2"/>
    <x v="2"/>
    <x v="2"/>
    <s v="1.0"/>
    <s v="NULL"/>
    <s v="Neutral"/>
    <x v="0"/>
    <x v="1"/>
    <s v="Positif"/>
  </r>
  <r>
    <x v="236"/>
    <x v="1"/>
    <x v="8"/>
    <d v="1899-12-30T08:02:00"/>
    <s v="&quot;Aplikasi nya buruk tidak bisa di buka pas kuota abis. Sama pelayanan live chat nya ancur ga pernah di respon cs&quot;"/>
    <x v="0"/>
    <x v="0"/>
    <x v="0"/>
    <s v="-1.0"/>
    <s v="NULL"/>
    <s v="Neutral"/>
    <x v="0"/>
    <x v="1"/>
    <s v="Positif"/>
  </r>
  <r>
    <x v="237"/>
    <x v="2"/>
    <x v="8"/>
    <d v="1899-12-30T07:38:00"/>
    <s v="&quot;Selamat siang min, hanya cuman mau kasih info, tolong buat daerah belawan, canang dan sekitarnya knapa setiap siang dan tengah malam sinyal XL tidak ada min Sekian info, Terima kasih&quot;"/>
    <x v="0"/>
    <x v="0"/>
    <x v="0"/>
    <s v="-1.0"/>
    <s v="NULL"/>
    <s v="Neutral"/>
    <x v="0"/>
    <x v="1"/>
    <s v="Positif"/>
  </r>
  <r>
    <x v="238"/>
    <x v="0"/>
    <x v="8"/>
    <d v="1899-12-30T06:58:00"/>
    <s v="&quot;semoga lebih banyak pilihan paket ekonomis spt competitor agar bs lebih hemat.&quot;"/>
    <x v="2"/>
    <x v="2"/>
    <x v="2"/>
    <s v="1.0"/>
    <s v="NULL"/>
    <s v="Neutral"/>
    <x v="0"/>
    <x v="1"/>
    <s v="Positif"/>
  </r>
  <r>
    <x v="239"/>
    <x v="4"/>
    <x v="8"/>
    <d v="1899-12-30T06:41:00"/>
    <s v="&quot;lumayan bagus apk nya, tapi lebih bagus lagi kalau kita bisa beli paket gaming atau lainnya tanpa harus ada pake reguler&quot;"/>
    <x v="2"/>
    <x v="2"/>
    <x v="2"/>
    <s v="1.0"/>
    <s v="NULL"/>
    <s v="Neutral"/>
    <x v="0"/>
    <x v="1"/>
    <s v="Positif"/>
  </r>
  <r>
    <x v="240"/>
    <x v="1"/>
    <x v="8"/>
    <d v="1899-12-30T04:30:00"/>
    <s v="&quot;Plis lah sinya perbaiki!gw maen ml gabisa&quot; wa pending,jangan promo Mulu tpi sinyal Mash gitu&quot; aja!&quot;"/>
    <x v="0"/>
    <x v="0"/>
    <x v="0"/>
    <s v="-1.0"/>
    <s v="NULL"/>
    <s v="Neutral"/>
    <x v="0"/>
    <x v="1"/>
    <s v="Positif"/>
  </r>
  <r>
    <x v="241"/>
    <x v="1"/>
    <x v="8"/>
    <d v="1899-12-30T03:51:00"/>
    <s v="&quot;Sedag terjadi masalah terus kalau mau buka aplikasi myXl padahal udah update&quot;"/>
    <x v="0"/>
    <x v="0"/>
    <x v="0"/>
    <s v="-1.0"/>
    <s v="NULL"/>
    <s v="Neutral"/>
    <x v="0"/>
    <x v="1"/>
    <s v="Positif"/>
  </r>
  <r>
    <x v="242"/>
    <x v="1"/>
    <x v="8"/>
    <d v="1899-12-30T03:33:00"/>
    <s v="&quot;Setiap mau ambil bonus kuota setelah isi pulsa di link selalu gagal..jadi percuma itu bonus ga kepake&quot;"/>
    <x v="0"/>
    <x v="0"/>
    <x v="0"/>
    <s v="-1.0"/>
    <s v="NULL"/>
    <s v="Positive"/>
    <x v="0"/>
    <x v="2"/>
    <s v="Positif"/>
  </r>
  <r>
    <x v="243"/>
    <x v="3"/>
    <x v="8"/>
    <d v="1899-12-30T23:08:00"/>
    <s v="&quot;bonus nya ga tentu, kalo mau komplen maya kurang puas dalam membahas keluhan kita,krn maya hanya sistem,kako bs kita tuh langsung hub dengan cs SDM nya&quot;"/>
    <x v="0"/>
    <x v="0"/>
    <x v="0"/>
    <s v="-1.0"/>
    <s v="NULL"/>
    <s v="Positive"/>
    <x v="0"/>
    <x v="2"/>
    <s v="Positif"/>
  </r>
  <r>
    <x v="244"/>
    <x v="0"/>
    <x v="8"/>
    <d v="1899-12-30T01:27:00"/>
    <s v="&quot;tingkatkan terus kualitas kuota nya . harga murah dapetnya gede . itu pelanggan yg pengen Ã°Å¸Â¤Â²Ã°Å¸â„¢ÂÃ°Å¸â€˜Å’&quot;"/>
    <x v="1"/>
    <x v="1"/>
    <x v="1"/>
    <s v="0.0"/>
    <s v="NULL"/>
    <s v="Neutral"/>
    <x v="1"/>
    <x v="1"/>
    <s v="Netral"/>
  </r>
  <r>
    <x v="245"/>
    <x v="3"/>
    <x v="8"/>
    <d v="1899-12-30T01:16:00"/>
    <s v="&quot;Kenapa nomer saya tidak terdaftar pada jaringan padahal nomer saya sering perpanjang masa .. tapi mau live chat di xl care kalah antrian rumah sakit .&quot;"/>
    <x v="0"/>
    <x v="0"/>
    <x v="0"/>
    <s v="-1.0"/>
    <s v="NULL"/>
    <s v="Positive"/>
    <x v="0"/>
    <x v="2"/>
    <s v="Positif"/>
  </r>
  <r>
    <x v="246"/>
    <x v="1"/>
    <x v="8"/>
    <d v="1899-12-30T19:54:00"/>
    <s v="&quot;Terlalu tipis buat jarak masa aktif, ketika melakukan pengisian ulang pulsa, dikira yang makek pada mampu doang mungkin, emang jaman sudah andorit, tapi belum tentu semua orang makek androit...&quot;"/>
    <x v="0"/>
    <x v="0"/>
    <x v="0"/>
    <s v="-1.0"/>
    <s v="NULL"/>
    <s v="Neutral"/>
    <x v="0"/>
    <x v="1"/>
    <s v="Positif"/>
  </r>
  <r>
    <x v="247"/>
    <x v="1"/>
    <x v="8"/>
    <d v="1899-12-30T19:41:00"/>
    <s v="&quot;Gini ye,pas ujan sinyal nya kok jelek bet yak,perasaan biasanya b aja,trs kalo nanggepin komentar setiap pengguna ngga usah disamain lah,klo di samain kek gini rasanya ngga lu baca,kaya lu diemin doang,bng.&quot;"/>
    <x v="0"/>
    <x v="0"/>
    <x v="0"/>
    <s v="-1.0"/>
    <s v="NULL"/>
    <s v="Neutral"/>
    <x v="0"/>
    <x v="1"/>
    <s v="Positif"/>
  </r>
  <r>
    <x v="248"/>
    <x v="1"/>
    <x v="8"/>
    <d v="1899-12-30T17:37:00"/>
    <s v="&quot;Kartu gk jelas jaringan makin sini makin lemah bukan nya makin lama makin bagus ini makin buruk&quot;"/>
    <x v="0"/>
    <x v="0"/>
    <x v="0"/>
    <s v="-1.0"/>
    <s v="NULL"/>
    <s v="Neutral"/>
    <x v="0"/>
    <x v="1"/>
    <s v="Positif"/>
  </r>
  <r>
    <x v="249"/>
    <x v="2"/>
    <x v="8"/>
    <d v="1899-12-30T16:22:00"/>
    <s v="&quot;untuk pilihan paket bervariasi sangat suka, sinyal juga oke... kekurangan nya cuma 1, ngga tau ini bisa dibilang kekurangan atau gimana, cuman pas padam listrik, sinyal ikut padam... hilang sama sekali sinyalnya&quot;"/>
    <x v="2"/>
    <x v="2"/>
    <x v="2"/>
    <s v="1.0"/>
    <s v="NULL"/>
    <s v="Neutral"/>
    <x v="0"/>
    <x v="1"/>
    <s v="Positif"/>
  </r>
  <r>
    <x v="250"/>
    <x v="1"/>
    <x v="8"/>
    <d v="1899-12-30T16:20:00"/>
    <s v="&quot;Ini kekecewaan yg ke dua kali... Nyesel saya bli kartu perdana nya lagi. Pertama saya bli xl sekitar tahun 2007 2008 sampe 2013. Habis itu ganti tri sampe skarang. 2021 coba bli perdana xl buat istri tapi kuotanya borosnya bukan main. Pdhl kekuatan sinyal sama aja.&quot;"/>
    <x v="0"/>
    <x v="0"/>
    <x v="0"/>
    <s v="-1.0"/>
    <s v="NULL"/>
    <s v="Neutral"/>
    <x v="0"/>
    <x v="1"/>
    <s v="Positif"/>
  </r>
  <r>
    <x v="251"/>
    <x v="4"/>
    <x v="8"/>
    <d v="1899-12-30T15:43:00"/>
    <s v="&quot;Kalau bisa bikin aplikasi yg versi lite Biar yg pake hp android versi lama bisa di buka . . Tolong di perhatikan juga kami para pengguna hp android jadul&quot;"/>
    <x v="1"/>
    <x v="1"/>
    <x v="1"/>
    <s v="0.0"/>
    <s v="NULL"/>
    <s v="Neutral"/>
    <x v="1"/>
    <x v="1"/>
    <s v="Netral"/>
  </r>
  <r>
    <x v="252"/>
    <x v="2"/>
    <x v="8"/>
    <d v="1899-12-30T14:29:00"/>
    <s v="&quot;bagus sekali, tapi kalau cuaca buruk sinyal nya hilang, tolong perbaiki lagi&quot;"/>
    <x v="2"/>
    <x v="2"/>
    <x v="2"/>
    <s v="1.0"/>
    <s v="NULL"/>
    <s v="Neutral"/>
    <x v="0"/>
    <x v="1"/>
    <s v="Positif"/>
  </r>
  <r>
    <x v="253"/>
    <x v="1"/>
    <x v="8"/>
    <d v="1899-12-30T14:18:00"/>
    <s v="&quot;Mending di hapus aja yg namanya unlimited (&quot;turbo&quot;) Lelet parah :) , dulu pertama kali pakai XL di daerah saya ngebut, sekarang malah LELET parah, harus ke lantai 2 baru bisa sosmed lancar. Otw cari provider lain yang cocok di daerah saya terimakasih&quot;"/>
    <x v="0"/>
    <x v="0"/>
    <x v="0"/>
    <s v="-1.0"/>
    <s v="NULL"/>
    <s v="Positive"/>
    <x v="0"/>
    <x v="2"/>
    <s v="Positif"/>
  </r>
  <r>
    <x v="254"/>
    <x v="1"/>
    <x v="8"/>
    <d v="1899-12-30T14:07:00"/>
    <s v="&quot;Pelayanan *123# sangat buruk tidak sesuai, masa pulsa sudah di beli saat pengaktifan paket malah gak bisa, udh 3 x ngalamin kaya gini, kapok pake XL&quot;"/>
    <x v="0"/>
    <x v="0"/>
    <x v="0"/>
    <s v="-1.0"/>
    <s v="NULL"/>
    <s v="Neutral"/>
    <x v="0"/>
    <x v="1"/>
    <s v="Positif"/>
  </r>
  <r>
    <x v="255"/>
    <x v="2"/>
    <x v="8"/>
    <d v="1899-12-30T13:47:00"/>
    <s v="&quot;trima kasih my xl udah Versi 5.5.10 semoga ke depan nya lebih nyaman nan sukses Slalu.&quot;"/>
    <x v="2"/>
    <x v="2"/>
    <x v="2"/>
    <s v="1.0"/>
    <s v="NULL"/>
    <s v="Neutral"/>
    <x v="0"/>
    <x v="1"/>
    <s v="Positif"/>
  </r>
  <r>
    <x v="256"/>
    <x v="1"/>
    <x v="8"/>
    <d v="1899-12-30T12:53:00"/>
    <s v="&quot;Udah 2 bulanan di daerah saya sinyalnya suka gak stabil udah di restart harusnya mantap malah balik lagi ke xl care cuma suruh mode pesawat sama restart. Udah gak tau lagi ini xl kenapa jadi sulit sinyalnya Padahal sebelumnya baik baik aja tu sinyal YUK XL PERBAIKILAH MASALAH SINYAL MU ITU&quot;"/>
    <x v="0"/>
    <x v="0"/>
    <x v="0"/>
    <s v="-1.0"/>
    <s v="NULL"/>
    <s v="Positive"/>
    <x v="0"/>
    <x v="2"/>
    <s v="Positif"/>
  </r>
  <r>
    <x v="257"/>
    <x v="1"/>
    <x v="8"/>
    <d v="1899-12-30T12:19:00"/>
    <s v="&quot;Kenapa makin ribet buat beli kouta, xtra combo mini malah gk ada ilang ntah kmna, malah disuruh beli yg VIP pdahal tertera reguler malah di bawa ke combo plus vip&quot;"/>
    <x v="0"/>
    <x v="0"/>
    <x v="0"/>
    <s v="-1.0"/>
    <s v="NULL"/>
    <s v="Positive"/>
    <x v="0"/>
    <x v="2"/>
    <s v="Positif"/>
  </r>
  <r>
    <x v="258"/>
    <x v="0"/>
    <x v="8"/>
    <d v="1899-12-30T12:08:00"/>
    <s v="&quot;aplikasinya udah bagus mnurut saya g ad yg aneh tpi knapa y xl pake main game Battle royalle jaringan nya nga stabil sering reconnect&quot;"/>
    <x v="2"/>
    <x v="2"/>
    <x v="2"/>
    <s v="1.0"/>
    <s v="NULL"/>
    <s v="Negative"/>
    <x v="0"/>
    <x v="0"/>
    <s v="Positif"/>
  </r>
  <r>
    <x v="259"/>
    <x v="2"/>
    <x v="8"/>
    <d v="1899-12-30T11:10:00"/>
    <s v="&quot;untuk sekarang XL sudah lebih dari cukup, tapi alangkah baiknya kedepan nya di kembangkan lagi untuk fitur bonus buat para gamers.... mantapÃ°Å¸Â¤ËœÃ°Å¸Â¤Ëœ&quot;"/>
    <x v="2"/>
    <x v="2"/>
    <x v="2"/>
    <s v="1.0"/>
    <s v="NULL"/>
    <s v="Positive"/>
    <x v="0"/>
    <x v="2"/>
    <s v="Positif"/>
  </r>
  <r>
    <x v="260"/>
    <x v="0"/>
    <x v="8"/>
    <d v="1899-12-30T00:06:00"/>
    <s v="&quot;ini sudah bagus tolong di perbagus lagi supaya pemakai XL lainnya puas dalam pelayan aplikasi ini&quot;"/>
    <x v="2"/>
    <x v="2"/>
    <x v="2"/>
    <s v="1.0"/>
    <s v="NULL"/>
    <s v="Neutral"/>
    <x v="0"/>
    <x v="1"/>
    <s v="Positif"/>
  </r>
  <r>
    <x v="261"/>
    <x v="3"/>
    <x v="9"/>
    <d v="1899-12-30T08:44:00"/>
    <s v="&quot;Ayo lah ini kok sinyalnya hilang datang hilang datang ya, in udh 3 kali hilang hari ini&quot;"/>
    <x v="0"/>
    <x v="0"/>
    <x v="0"/>
    <s v="-1.0"/>
    <s v="NULL"/>
    <s v="Neutral"/>
    <x v="0"/>
    <x v="1"/>
    <s v="Positif"/>
  </r>
  <r>
    <x v="262"/>
    <x v="1"/>
    <x v="9"/>
    <d v="1899-12-30T07:57:00"/>
    <s v="&quot;Xl knapa sinyal nya dah 3 hari ke blakang sinyal nya jelek .tolong di perbaiki agar kami pengguna xl nyaman. Benerin ya sinyal nya agar bagus lagi .&quot;"/>
    <x v="0"/>
    <x v="0"/>
    <x v="0"/>
    <s v="-1.0"/>
    <s v="NULL"/>
    <s v="Neutral"/>
    <x v="0"/>
    <x v="1"/>
    <s v="Positif"/>
  </r>
  <r>
    <x v="263"/>
    <x v="2"/>
    <x v="9"/>
    <d v="1899-12-30T06:58:00"/>
    <s v="&quot;Secara keseluriban sinyal bagus.. harga promo luar biasa tapi saya tidak mengerti tiba&quot; hilang.. harga kompetitif seimbang dengan kualitasnya..Ã°Å¸â€˜Â&quot;"/>
    <x v="2"/>
    <x v="2"/>
    <x v="2"/>
    <s v="1.0"/>
    <s v="NULL"/>
    <s v="Neutral"/>
    <x v="0"/>
    <x v="1"/>
    <s v="Positif"/>
  </r>
  <r>
    <x v="264"/>
    <x v="0"/>
    <x v="9"/>
    <d v="1899-12-30T05:59:00"/>
    <s v="&quot;Tambah jaringan lg bos.. Biyar semakin lancar area jateng,. Harga paketan masih mahal bos&quot;"/>
    <x v="0"/>
    <x v="0"/>
    <x v="0"/>
    <s v="-1.0"/>
    <s v="NULL"/>
    <s v="Neutral"/>
    <x v="0"/>
    <x v="1"/>
    <s v="Positif"/>
  </r>
  <r>
    <x v="265"/>
    <x v="2"/>
    <x v="9"/>
    <d v="1899-12-30T05:58:00"/>
    <s v="&quot;sinyal XL sudah mulai bagus di wilayah Bangka tengah provinsi kepulauan Bangka Belitung,, pertahankan,, mantaaaaap,,sangat recommended&quot;"/>
    <x v="2"/>
    <x v="2"/>
    <x v="2"/>
    <s v="1.0"/>
    <s v="NULL"/>
    <s v="Positive"/>
    <x v="0"/>
    <x v="2"/>
    <s v="Positif"/>
  </r>
  <r>
    <x v="266"/>
    <x v="1"/>
    <x v="9"/>
    <d v="1899-12-30T04:03:00"/>
    <s v="&quot;Nunggu agent sampai 1,5jam cuma disuruh nunggu terus. Kecewa sama XL. Pulsa kepotong tiap hari padahal data seluler off. Isi pulsa buat urgent malah dipotong setiap hari. Kecewa&quot;"/>
    <x v="0"/>
    <x v="0"/>
    <x v="0"/>
    <s v="-1.0"/>
    <s v="NULL"/>
    <s v="Positive"/>
    <x v="0"/>
    <x v="2"/>
    <s v="Positif"/>
  </r>
  <r>
    <x v="267"/>
    <x v="4"/>
    <x v="9"/>
    <d v="1899-12-30T03:24:00"/>
    <s v="&quot;Apk nya sih bagus.. Tapi kenapa JARINGAN DI DAERAH SOLO SERING BANGET GANGGUAN. Mohon segera di perbaiki dong..&quot;"/>
    <x v="1"/>
    <x v="1"/>
    <x v="1"/>
    <s v="0.0"/>
    <s v="NULL"/>
    <s v="Neutral"/>
    <x v="1"/>
    <x v="1"/>
    <s v="Netral"/>
  </r>
  <r>
    <x v="268"/>
    <x v="4"/>
    <x v="9"/>
    <d v="1899-12-30T02:49:00"/>
    <s v="&quot;jaringan nya kurang bagus ... tolong d perbaiki ya terimakasih&quot;"/>
    <x v="1"/>
    <x v="1"/>
    <x v="1"/>
    <s v="0.0"/>
    <s v="NULL"/>
    <s v="Neutral"/>
    <x v="1"/>
    <x v="1"/>
    <s v="Netral"/>
  </r>
  <r>
    <x v="269"/>
    <x v="1"/>
    <x v="9"/>
    <d v="1899-12-30T02:36:00"/>
    <s v="&quot;Masa beli 2 kali masuknya sekali dengan paket yang sama(Paket Xtra 10GB kuota utama + Youtube 20GB). Awalnya beli di ovo...karena &quot;sedang diproses&quot;nya lama, lalu beli paket yg sama lagi di tokped langsung masuk. Tak lama kemudian saya cek yang di ovo ternyata udah berhasil juga. Namun ketika cek di aplikasi, hanya masuk 1 paketnya...cuma dapet 10GB kuota utama. Ga ada palet akumulasinya ... terus apps-nya lemot harus pake mode game booster di samsung A51.&quot;"/>
    <x v="0"/>
    <x v="0"/>
    <x v="0"/>
    <s v="-1.0"/>
    <s v="NULL"/>
    <s v="Neutral"/>
    <x v="0"/>
    <x v="1"/>
    <s v="Positif"/>
  </r>
  <r>
    <x v="270"/>
    <x v="1"/>
    <x v="9"/>
    <d v="1899-12-30T21:50:00"/>
    <s v="&quot;Setelah update app tidak bisa dibuka, sdh uninstal dan instal lagi tetap sama tidak bisa di buka, gmn ini ?????&quot;"/>
    <x v="0"/>
    <x v="0"/>
    <x v="0"/>
    <s v="-1.0"/>
    <s v="NULL"/>
    <s v="Neutral"/>
    <x v="0"/>
    <x v="1"/>
    <s v="Positif"/>
  </r>
  <r>
    <x v="271"/>
    <x v="3"/>
    <x v="9"/>
    <d v="1899-12-30T21:49:00"/>
    <s v="&quot;Aplikasi terputus dan keluar ketika setelah memasukan kode OTP. Bahkan setelah di reinstall.&quot;"/>
    <x v="0"/>
    <x v="0"/>
    <x v="0"/>
    <s v="-1.0"/>
    <s v="NULL"/>
    <s v="Neutral"/>
    <x v="0"/>
    <x v="1"/>
    <s v="Positif"/>
  </r>
  <r>
    <x v="272"/>
    <x v="1"/>
    <x v="9"/>
    <d v="1899-12-30T21:40:00"/>
    <s v="&quot;Saran Donk Pembayaran Isi Pulsa Nya Akulaku. Bila Ada Pembayaran Akulaku Baru Bintang 5 Ã°Å¸ËœÂ&quot;"/>
    <x v="2"/>
    <x v="2"/>
    <x v="2"/>
    <s v="1.0"/>
    <s v="NULL"/>
    <s v="Neutral"/>
    <x v="0"/>
    <x v="1"/>
    <s v="Positif"/>
  </r>
  <r>
    <x v="273"/>
    <x v="2"/>
    <x v="9"/>
    <d v="1899-12-30T01:48:00"/>
    <s v="&quot;Ni aplikasi knapa si,, kadang seneng pake myxl, kadang emosiii banget, kuota ada, jaringan lancar, tapi masih aja &quot;coba lagi&quot; kek lagi main gosok ale alee tau,, giliran lagi butuh bgt malah kaya gini _-&quot;"/>
    <x v="1"/>
    <x v="1"/>
    <x v="1"/>
    <s v="0.0"/>
    <s v="NULL"/>
    <s v="Neutral"/>
    <x v="1"/>
    <x v="1"/>
    <s v="Netral"/>
  </r>
  <r>
    <x v="274"/>
    <x v="1"/>
    <x v="9"/>
    <d v="1899-12-30T17:54:00"/>
    <s v="&quot;Tolong dong sinyalnya diperbaiki lagi buat wa aja susah apalagi buat game&quot;"/>
    <x v="0"/>
    <x v="0"/>
    <x v="0"/>
    <s v="-1.0"/>
    <s v="NULL"/>
    <s v="Neutral"/>
    <x v="0"/>
    <x v="1"/>
    <s v="Positif"/>
  </r>
  <r>
    <x v="275"/>
    <x v="3"/>
    <x v="9"/>
    <d v="1899-12-30T17:31:00"/>
    <s v="&quot;Terimakasih, maaf bintang saya kurangi akhir akhir ini haaaanccurr jaringan ditempat saya, hujan dikit udah kacau tu jaringan ... Banyak pelanggan yg kecewa kalau begini. Mohon dibenerin , untuk teknisi nya&quot;"/>
    <x v="0"/>
    <x v="0"/>
    <x v="0"/>
    <s v="-1.0"/>
    <s v="NULL"/>
    <s v="Neutral"/>
    <x v="0"/>
    <x v="1"/>
    <s v="Positif"/>
  </r>
  <r>
    <x v="276"/>
    <x v="1"/>
    <x v="9"/>
    <d v="1899-12-30T16:54:00"/>
    <s v="&quot;Pulsa gua ko bisa ngurang? Padahal udh ada paket data!! Saya sangat benarÃ‚Â² kcewa dan menyesal telah menggunakan XL!!!&quot;"/>
    <x v="0"/>
    <x v="0"/>
    <x v="0"/>
    <s v="-1.0"/>
    <s v="NULL"/>
    <s v="Neutral"/>
    <x v="0"/>
    <x v="1"/>
    <s v="Positif"/>
  </r>
  <r>
    <x v="277"/>
    <x v="2"/>
    <x v="9"/>
    <d v="1899-12-30T16:23:00"/>
    <s v="&quot;Semoga di Lembata,NTT signalnya dikuatkan lagi,towernya bertambah lagi masih beberapa daerah yang susah internet.sudah 4G tapi loadingnya agak lambat bahkan lama.tingkatkan terus signal internet nya Ã°Å¸â€˜Â&quot;"/>
    <x v="1"/>
    <x v="1"/>
    <x v="1"/>
    <s v="0.0"/>
    <s v="NULL"/>
    <s v="Neutral"/>
    <x v="1"/>
    <x v="1"/>
    <s v="Netral"/>
  </r>
  <r>
    <x v="278"/>
    <x v="2"/>
    <x v="9"/>
    <d v="1899-12-30T16:05:00"/>
    <s v="&quot;Terima Kasih Banyak Aplikasi XL Dikarenakan Udah Menambakan FiturÃ‚Â² Bagus, Dan Saya Senang Bisa Mendapatkan Point Bonus Buat Nanti Ditukarkan, Dan Saya Juga Mempercayai Aplikasi XL Ini Dikarenakan Saya Suka Isi Paketan Disini Suka Isi Top-up Game Juga Disini Sukses Selalu Aplikasi XL :&quot;)&quot;"/>
    <x v="2"/>
    <x v="2"/>
    <x v="2"/>
    <s v="1.0"/>
    <s v="NULL"/>
    <s v="Positive"/>
    <x v="0"/>
    <x v="2"/>
    <s v="Positif"/>
  </r>
  <r>
    <x v="279"/>
    <x v="1"/>
    <x v="9"/>
    <d v="1899-12-30T15:28:00"/>
    <s v="&quot;Kenapa setiap isi pulsa sisa beli paket pulsa tiba2 hilang padahal tidak ada pemakaian sms atau dll kaya lintah darat sue lumayan kan sisa 6rb pulsa&quot;"/>
    <x v="0"/>
    <x v="0"/>
    <x v="0"/>
    <s v="-1.0"/>
    <s v="NULL"/>
    <s v="Neutral"/>
    <x v="0"/>
    <x v="1"/>
    <s v="Positif"/>
  </r>
  <r>
    <x v="280"/>
    <x v="1"/>
    <x v="9"/>
    <d v="1899-12-30T15:21:00"/>
    <s v="&quot;Apk konyol aku beli paket data masih sisa 800 mb youtube.. aku isi lagi 4 gb baru yang lama malah ilang.. tolong lah ini merugikan pihak enguna xl... Kalo gini trus saya bisa pindah kekartu yang lain... Dan pasti habis ini disuruh hubungin myxl caredi padahal cuma dibaca doang kan... SAYA SANGAT KECEWA...&quot;"/>
    <x v="0"/>
    <x v="0"/>
    <x v="0"/>
    <s v="-1.0"/>
    <s v="NULL"/>
    <s v="Neutral"/>
    <x v="0"/>
    <x v="1"/>
    <s v="Positif"/>
  </r>
  <r>
    <x v="281"/>
    <x v="1"/>
    <x v="9"/>
    <d v="1899-12-30T14:51:00"/>
    <s v="&quot;saya pengguna xl prioritas 3 tahun lebih kecewa, karena penagihan berulang-ulang dan membengkak tidak sewajarnya. aplikasi live chat tidak ada respon. mohon lebih memperhatikan customer&quot;"/>
    <x v="0"/>
    <x v="0"/>
    <x v="0"/>
    <s v="-1.0"/>
    <s v="NULL"/>
    <s v="Neutral"/>
    <x v="0"/>
    <x v="1"/>
    <s v="Positif"/>
  </r>
  <r>
    <x v="282"/>
    <x v="1"/>
    <x v="9"/>
    <d v="1899-12-30T13:44:00"/>
    <s v="&quot;XL sekarang Luar biasa lemot nya, udah 3 hari ngga bisa buka apa apa padahal kuota baru beli/masih banyak , Berulang kali restart hp/mode airplan tetap aja lemott keselll Kalau gini terus auto pindah operator!!&quot;"/>
    <x v="0"/>
    <x v="0"/>
    <x v="0"/>
    <s v="-1.0"/>
    <s v="NULL"/>
    <s v="Neutral"/>
    <x v="0"/>
    <x v="1"/>
    <s v="Positif"/>
  </r>
  <r>
    <x v="283"/>
    <x v="2"/>
    <x v="9"/>
    <d v="1899-12-30T13:29:00"/>
    <s v="&quot;Stabil sih, main game lancar,. gak ke telkomsel telkomsel letoy, udah letoy di pake main game lag parah padahal pake kuota regular sinyal nya 4g+ tapi letoyy nyaa bikin naik darah,. untung ada XL, udah lama pake telkomsel, lama lama muak juga jaringam tsel,. auto pindah XL, terima kasih XL&quot;"/>
    <x v="2"/>
    <x v="2"/>
    <x v="2"/>
    <s v="1.0"/>
    <s v="NULL"/>
    <s v="Negative"/>
    <x v="0"/>
    <x v="0"/>
    <s v="Positif"/>
  </r>
  <r>
    <x v="284"/>
    <x v="4"/>
    <x v="9"/>
    <d v="1899-12-30T13:18:00"/>
    <s v="&quot;Ok ch, tapi kalau mau bintang 5 perbaiki sinyalnya, karna kami sangat kecewa karna sinya di daerah saya hilangÃ‚Â² terus apalagi bila sudah jam 5 sore keatas aduuuuh parah.&quot;"/>
    <x v="0"/>
    <x v="0"/>
    <x v="0"/>
    <s v="-1.0"/>
    <s v="NULL"/>
    <s v="Negative"/>
    <x v="0"/>
    <x v="0"/>
    <s v="Positif"/>
  </r>
  <r>
    <x v="285"/>
    <x v="4"/>
    <x v="9"/>
    <d v="1899-12-30T12:24:00"/>
    <s v="&quot;Saya baru menggunakan aplikasi ini, saya berharap di jaringan tempat saya bisa full&quot;"/>
    <x v="0"/>
    <x v="0"/>
    <x v="0"/>
    <s v="-1.0"/>
    <s v="NULL"/>
    <s v="Neutral"/>
    <x v="0"/>
    <x v="1"/>
    <s v="Positif"/>
  </r>
  <r>
    <x v="286"/>
    <x v="0"/>
    <x v="9"/>
    <d v="1899-12-30T11:54:00"/>
    <s v="&quot;menggunakan layanan XL semakin mudah dengan menggunakan aplikasi ini terutama dengan beberapa promo dan potongan harga yang tak bisa dilakukan dengan sebatas *123#. akan tetapi untuk hp spek rendah seperti hp saya, sering terjadi force close sehingga myXL harus dibuka berulang-ulang&quot;"/>
    <x v="1"/>
    <x v="1"/>
    <x v="1"/>
    <s v="0.0"/>
    <s v="NULL"/>
    <s v="Neutral"/>
    <x v="1"/>
    <x v="1"/>
    <s v="Netral"/>
  </r>
  <r>
    <x v="287"/>
    <x v="2"/>
    <x v="9"/>
    <d v="1899-12-30T11:20:00"/>
    <s v="&quot;makasih pelayanan nya bagus, hanya saja jaringan nya di kota saya (Gorontalo) masih kurang memadai, jaringan 4g sering down ke h+ dan tiap sekali seminggu pasti hilang jaringannya. Mohon diperbaiki lagi kualitasnya selebihnya udah bagus kok.&quot;"/>
    <x v="2"/>
    <x v="2"/>
    <x v="2"/>
    <s v="1.0"/>
    <s v="NULL"/>
    <s v="Neutral"/>
    <x v="0"/>
    <x v="1"/>
    <s v="Positif"/>
  </r>
  <r>
    <x v="288"/>
    <x v="1"/>
    <x v="9"/>
    <d v="1899-12-30T11:12:00"/>
    <s v="&quot;Apk rusak kalau masak. Setiap gue mau beli paket selalu ada tulisan apk tidak menggapi nyesel gue beli xl kalau begini terus&quot;"/>
    <x v="0"/>
    <x v="0"/>
    <x v="0"/>
    <s v="-1.0"/>
    <s v="NULL"/>
    <s v="Neutral"/>
    <x v="0"/>
    <x v="1"/>
    <s v="Positif"/>
  </r>
  <r>
    <x v="289"/>
    <x v="1"/>
    <x v="9"/>
    <d v="1899-12-30T11:03:00"/>
    <s v="&quot;katanya paska bayar, udah gitu ada uang deposit &amp; batas limit pemakaian, tapi ada promo paket internet tetep aja kudu bayar dulu kaya pra bayar aja?!?!??&quot;"/>
    <x v="0"/>
    <x v="0"/>
    <x v="0"/>
    <s v="-1.0"/>
    <s v="NULL"/>
    <s v="Neutral"/>
    <x v="0"/>
    <x v="1"/>
    <s v="Positif"/>
  </r>
  <r>
    <x v="290"/>
    <x v="4"/>
    <x v="9"/>
    <d v="1899-12-30T10:37:00"/>
    <s v="&quot;bintang 3 dulu ,sebab baru pake xl, smogaa XL lebih baek dari yg laen&quot;"/>
    <x v="1"/>
    <x v="1"/>
    <x v="1"/>
    <s v="0.0"/>
    <s v="NULL"/>
    <s v="Neutral"/>
    <x v="1"/>
    <x v="1"/>
    <s v="Netral"/>
  </r>
  <r>
    <x v="291"/>
    <x v="2"/>
    <x v="9"/>
    <d v="1899-12-30T10:36:00"/>
    <s v="&quot;mantap... ga repot kalo pakai aplikasinya... tinggal pilih pilih terus pencet beli..&quot;"/>
    <x v="2"/>
    <x v="2"/>
    <x v="2"/>
    <s v="1.0"/>
    <s v="NULL"/>
    <s v="Neutral"/>
    <x v="0"/>
    <x v="1"/>
    <s v="Positif"/>
  </r>
  <r>
    <x v="292"/>
    <x v="2"/>
    <x v="9"/>
    <d v="1899-12-30T10:05:00"/>
    <s v="&quot;Sekarang @XL semakin maju sinyalnya Sekarang sudh gak ngelag lagi buat main gam online... Terimakasih XL sudah membuat saya puas memakainya...&quot;"/>
    <x v="2"/>
    <x v="2"/>
    <x v="2"/>
    <s v="1.0"/>
    <s v="NULL"/>
    <s v="Neutral"/>
    <x v="0"/>
    <x v="1"/>
    <s v="Positif"/>
  </r>
  <r>
    <x v="293"/>
    <x v="1"/>
    <x v="10"/>
    <d v="1899-12-30T09:09:00"/>
    <s v="&quot;Di download nemen nemen rak keno di bukak ,padahal wes tak daftar ,ngentek ngentek ke paketan otk ,asemm ok, download te sui maneh ,!!!!!!!!!!!!!!!!!!!!!!!!!!!!!!!!!!!!!!!!!!!!!!!!!!!!!!!!!!!!!!!!!!!!!!!!_7_++_+__+7_-(+_+-+82872+3? Nnnnnnniywhjsjnjdujnhdugsgjijxhhhghgbd ke yang unik dan menarik setiap saat dan kemudian aku pak gowo montor re di gowo mamak ku beli di lokasimu tersedia banyak iklan telepon ke Facebook ke Facebook hari ini Jon bon Jovi always be my baby ku beli d!!!!!!!!!!!!!!!!!Ã‚Â¡!&quot;"/>
    <x v="0"/>
    <x v="0"/>
    <x v="0"/>
    <s v="-1.0"/>
    <s v="NULL"/>
    <s v="Neutral"/>
    <x v="0"/>
    <x v="1"/>
    <s v="Positif"/>
  </r>
  <r>
    <x v="294"/>
    <x v="4"/>
    <x v="10"/>
    <d v="1899-12-30T02:37:00"/>
    <s v="&quot;sementara saya kasih 3 bintang karena dilokasi tempat tinggal saya jaringan nya masih belum optimal tapi jika saya berada diluar rumah jaringan nya ok punya&quot;"/>
    <x v="1"/>
    <x v="1"/>
    <x v="1"/>
    <s v="0.0"/>
    <s v="NULL"/>
    <s v="Positive"/>
    <x v="1"/>
    <x v="2"/>
    <s v="Netral"/>
  </r>
  <r>
    <x v="295"/>
    <x v="1"/>
    <x v="10"/>
    <d v="1899-12-30T22:09:00"/>
    <s v="&quot;Saya merasa teramat sangat kecewa dengan XL. Sudah beberapa kali pulsa saya tersedot dan jumlahnya juga tidak sedikit, pada saat itu saya baru saja membeli pulsa dan mendapatkan bonus kuota saya sengaja tidak memaketkan pulsa saya dikarenakan sudah ada kuota dari bonus isi pulsa, namun tibaÃ‚Â² pulsa saya tersedot sangat banyak, padahal saya sudah mengaktifkan fitur pulsa safe.Saya pernah membeli paket kuota Xtra Combo Plus 48GB,pulsa saya sudah terpotong namun yg masuk malah yg 28GB. Sgt Merugikan&quot;"/>
    <x v="0"/>
    <x v="0"/>
    <x v="0"/>
    <s v="-1.0"/>
    <s v="NULL"/>
    <s v="Positive"/>
    <x v="0"/>
    <x v="2"/>
    <s v="Positif"/>
  </r>
  <r>
    <x v="296"/>
    <x v="1"/>
    <x v="10"/>
    <d v="1899-12-30T01:34:00"/>
    <s v="&quot;Gimana sih...niat jualan gak...di aplikasi gak ada penawaran paket kuota sama sekali...gak guna banget punya aplikasi XL...gunanya aplikasi XL itu kan buat beli kuota...lah ini gak ada menu nya sama sekali...ANEHH&quot;"/>
    <x v="0"/>
    <x v="0"/>
    <x v="0"/>
    <s v="-1.0"/>
    <s v="NULL"/>
    <s v="Neutral"/>
    <x v="0"/>
    <x v="1"/>
    <s v="Positif"/>
  </r>
  <r>
    <x v="297"/>
    <x v="1"/>
    <x v="10"/>
    <d v="1899-12-30T18:32:00"/>
    <s v="&quot;aplikasi eror terus , gak bisa di buka aplikasinya .. baru di buka 5 detik sudah keluar sendiri , begitu seterusnya , surah coba telfon ke xl 817 di suruh menunggu sedang di perbaiki .. tapi kenyataannya makin kesini makin gak jelas aplikasinya&quot;"/>
    <x v="0"/>
    <x v="0"/>
    <x v="0"/>
    <s v="-1.0"/>
    <s v="NULL"/>
    <s v="Neutral"/>
    <x v="0"/>
    <x v="1"/>
    <s v="Positif"/>
  </r>
  <r>
    <x v="298"/>
    <x v="1"/>
    <x v="10"/>
    <d v="1899-12-30T18:11:00"/>
    <s v="&quot;jelek banget ga biasanya kaya gini, ngisi kuota jelas jelas pembayaran berhasil tapi ga masuk kuotanya. mana customer service nya lemot banget ga di respon respon. nunggu antri dulu itupun udah sejam ga ada respon emangnya perusahaan gede ga punya agen CS banyak?&quot;"/>
    <x v="0"/>
    <x v="0"/>
    <x v="0"/>
    <s v="-1.0"/>
    <s v="NULL"/>
    <s v="Neutral"/>
    <x v="0"/>
    <x v="1"/>
    <s v="Positif"/>
  </r>
  <r>
    <x v="299"/>
    <x v="4"/>
    <x v="10"/>
    <d v="1899-12-30T16:58:00"/>
    <s v="&quot;Untuk aplikasi jujur sangat bagus, tapi tolong di perbaiki masalah jaringan internet nya, sering sekali terjadi gangguan tiba-tiba signal menghilang dan darurat, kecepatan jaringan internet diperbaiki, saya pengguna setia XL sangat kecewa trmksh, sangat dengan tolong lah diperbaiki jaringan internetnya&quot;"/>
    <x v="2"/>
    <x v="2"/>
    <x v="2"/>
    <s v="1.0"/>
    <s v="NULL"/>
    <s v="Neutral"/>
    <x v="0"/>
    <x v="1"/>
    <s v="Positif"/>
  </r>
  <r>
    <x v="300"/>
    <x v="3"/>
    <x v="10"/>
    <d v="1899-12-30T15:09:00"/>
    <s v="&quot;selamat malam kak maaf nih mau tanya saya beli paketan yang 28 kok masuk nya yang 15 itu kenapa ya mohon bantuannya kak saya sudah kejadian kedua kalinya seperti ini kak&quot;"/>
    <x v="1"/>
    <x v="1"/>
    <x v="1"/>
    <s v="0.0"/>
    <s v="NULL"/>
    <s v="Neutral"/>
    <x v="1"/>
    <x v="1"/>
    <s v="Netral"/>
  </r>
  <r>
    <x v="301"/>
    <x v="1"/>
    <x v="10"/>
    <d v="1899-12-30T14:32:00"/>
    <s v="&quot;Coba dilihat lagi betul2 untuk iklan promo yg tidak sesuai dg kenyataan jangan ditampilkan di aplikasinya lg. Sblm isi pulsa murah giliran udh isi pulsa pilihan Paket berubahÃ°Å¸Â¤Â¦Ã¢â‚¬ÂÃ¢â„¢â‚¬Ã¯Â¸Â&quot;"/>
    <x v="0"/>
    <x v="0"/>
    <x v="0"/>
    <s v="-1.0"/>
    <s v="NULL"/>
    <s v="Neutral"/>
    <x v="0"/>
    <x v="1"/>
    <s v="Positif"/>
  </r>
  <r>
    <x v="302"/>
    <x v="1"/>
    <x v="10"/>
    <d v="1899-12-30T13:14:00"/>
    <s v="&quot;Ini gimana si Xl. Ngaku doang prioritas. Udh tau lagi Pentingggg. Sinyal jelek, lemot, bikin Sensi! Bahkan ga ada sinyalll. Masa kalah ama Im3 dan Telkomsel . !!!!!!&quot;"/>
    <x v="0"/>
    <x v="0"/>
    <x v="0"/>
    <s v="-1.0"/>
    <s v="NULL"/>
    <s v="Neutral"/>
    <x v="0"/>
    <x v="1"/>
    <s v="Positif"/>
  </r>
  <r>
    <x v="303"/>
    <x v="1"/>
    <x v="10"/>
    <d v="1899-12-30T13:13:00"/>
    <s v="&quot;Paketan masih 4gb,masa aktif masih lama kok ga bisa digunakan.tanggal 19 kemarin saya beli,katanya sebulan kok ga sampe sebulan.&quot;"/>
    <x v="0"/>
    <x v="0"/>
    <x v="0"/>
    <s v="-1.0"/>
    <s v="NULL"/>
    <s v="Neutral"/>
    <x v="0"/>
    <x v="1"/>
    <s v="Positif"/>
  </r>
  <r>
    <x v="304"/>
    <x v="2"/>
    <x v="10"/>
    <d v="1899-12-30T10:38:00"/>
    <s v="&quot;sengaja saya kasih bintang lima biar di baca...kenapa sinyal XL sekarang internet nya lelet bangat dan sering sekali ganguan di tempat saya..saya posisi di Labangka sngt2 jelek sekali sinyal nya..mohon pihak XL di perbaiki lagi kualitas nya biar gak kabur pelanggan nya....Ã°Å¸â„¢Â&quot;"/>
    <x v="0"/>
    <x v="0"/>
    <x v="0"/>
    <s v="-1.0"/>
    <s v="NULL"/>
    <s v="Neutral"/>
    <x v="0"/>
    <x v="1"/>
    <s v="Positif"/>
  </r>
  <r>
    <x v="305"/>
    <x v="3"/>
    <x v="10"/>
    <d v="1899-12-30T00:40:00"/>
    <s v="&quot;Mau login aja gk bisa2, kendala mulu, sinyal di hp malah hilang sma sekali ada tanda silang nya, udh dibayar pasca baysr nya, mo login aplikasi yg ini malah kendala terus, pdhal yg apk lama yg post paid bisa masuk, aneh&quot;"/>
    <x v="0"/>
    <x v="0"/>
    <x v="0"/>
    <s v="-1.0"/>
    <s v="NULL"/>
    <s v="Neutral"/>
    <x v="0"/>
    <x v="1"/>
    <s v="Positif"/>
  </r>
  <r>
    <x v="306"/>
    <x v="1"/>
    <x v="11"/>
    <d v="1899-12-30T07:03:00"/>
    <s v="&quot;Mau nanya, knpa XL di kalimantan lemot bnget yak, knpa gitu aja, kmaren lancar2 aja ini lemotnya minta ampun, banting hp gw.&quot;"/>
    <x v="0"/>
    <x v="0"/>
    <x v="0"/>
    <s v="-1.0"/>
    <s v="NULL"/>
    <s v="Neutral"/>
    <x v="0"/>
    <x v="1"/>
    <s v="Positif"/>
  </r>
  <r>
    <x v="307"/>
    <x v="1"/>
    <x v="11"/>
    <d v="1899-12-30T06:51:00"/>
    <s v="&quot;XL Pelit banget ngasi Kuota Unlimited Sbg Penggunan Kartu XL sy Kira Unlimited yg sy daftar di paket Combo plus untuk seluru setelah di baca Hanya untuk Wa, map, comperence &amp; Edukasi. Tolong Lebih ber-inovasi kasi Unlimited yg lebih banyak di pakai setiap hari Contohnya Youtube, Tiktok, Instagram, Terutama Tiktok yg selalu sy pakai tiap hari kalau gini gak guna Namanya Unlimited Hanya Mampang Namanya saja.&quot;"/>
    <x v="0"/>
    <x v="0"/>
    <x v="0"/>
    <s v="-1.0"/>
    <s v="NULL"/>
    <s v="Neutral"/>
    <x v="0"/>
    <x v="1"/>
    <s v="Positif"/>
  </r>
  <r>
    <x v="308"/>
    <x v="2"/>
    <x v="11"/>
    <d v="1899-12-30T05:29:00"/>
    <s v="&quot;apk nya bagus!!!!!!!!!!!!!!!!!!!!!!!!!!!!!!!!!!!!!!!!!!!!!!!!!!!!!!!!!!!!!!!!!!!!!!!!!!!!!!!!!!!!!!!!!!!!!!!!!!!!!!!!!!!!!!!!!!!!!!!!!!!!!!!!!!!!!!!!!!!!!!!!!!!!!!!!!!!!!!!!!!!!!!!!!!!!!!!!!!!!!!!!!!!!!!!!!!!!!!!!!!!!!!!!!!!!!!!!!!!!!!!!!!!!!!!!!!!!!!!!!!!!!!!!!!!!!!!!!!!!!!!!!!!!!!!!!!!!!!!!!!!!!!!!!!!!!!!!!!!!!!!!!!!!!!!!!!!!!!!!!!!!!!!!!!!!!!!!!!!!!!!!!!!!!!!!!!!!!!!!!!!!!!!!!!!!!!!!!!!!!!!!!!!!!!!!!!!!!!!!!!!!!!!!!!dah tau bagus masih Di lihat&quot;"/>
    <x v="2"/>
    <x v="2"/>
    <x v="2"/>
    <s v="1.0"/>
    <s v="NULL"/>
    <s v="Neutral"/>
    <x v="0"/>
    <x v="1"/>
    <s v="Positif"/>
  </r>
  <r>
    <x v="309"/>
    <x v="1"/>
    <x v="11"/>
    <d v="1899-12-30T18:48:00"/>
    <s v="&quot;Sinyal kalian kayak sampah... tau kalian, gk da panas, gk da hujan sinyal nya hilang. Di suruh update biar bisa VoLTE, biar ini,biar itu, biar tambah lelet iya sinyal kyk sampah gini lama&quot; XL ini. Klo satu bulan lagi kyk gni sinyal kalian.. kalian ketinggalan sama yg lain. Yakinlah.. klo iklan kalian jago, nyatanya... PENIPU...Ã°Å¸Â¤Â¦Ã°Å¸ÂÂ¼Ã¢â‚¬ÂÃ¢â„¢â€šÃ¯Â¸ÂÃ°Å¸Â¤Â¦Ã°Å¸ÂÂ¼Ã¢â‚¬ÂÃ¢â„¢â€šÃ¯Â¸ÂÃ°Å¸Â¤Â¦Ã°Å¸ÂÂ¼Ã¢â‚¬ÂÃ¢â„¢â€šÃ¯Â¸ÂÃ°Å¸Â¤Â¦Ã°Å¸ÂÂ¼Ã¢â‚¬ÂÃ¢â„¢â€šÃ¯Â¸Â&quot;"/>
    <x v="0"/>
    <x v="0"/>
    <x v="0"/>
    <s v="-1.0"/>
    <s v="NULL"/>
    <s v="Neutral"/>
    <x v="0"/>
    <x v="1"/>
    <s v="Positif"/>
  </r>
  <r>
    <x v="310"/>
    <x v="1"/>
    <x v="11"/>
    <d v="1899-12-30T17:47:00"/>
    <s v="&quot;Saya beli kuota promo 4GB + Bonus MyQuota 15GB, tapi bonusnya ga masuk masuk. Sudah tanya ke live chat, tapi malah dikasih chat bot alhasil jawaban dari bot gada yang benar. Mohon kalau fitur live chat mending sama orang asli jangan pake bot parah gabisa diandalkan! !&quot;"/>
    <x v="0"/>
    <x v="0"/>
    <x v="0"/>
    <s v="-1.0"/>
    <s v="NULL"/>
    <s v="Positive"/>
    <x v="0"/>
    <x v="2"/>
    <s v="Positif"/>
  </r>
  <r>
    <x v="311"/>
    <x v="1"/>
    <x v="11"/>
    <d v="1899-12-30T17:16:00"/>
    <s v="&quot;Tolong lah XL nya di bagus kan lagi jangan sampai kayak gini lah nanti lari semua pelanggan XL karena cuma sinyalnya jelek kali sampai harus manjat atas genteng emang ni di hutan musti manjat manjat genteng udah dari siang ni GK ada masuk sinyal nya min XL&quot;"/>
    <x v="0"/>
    <x v="0"/>
    <x v="0"/>
    <s v="-1.0"/>
    <s v="NULL"/>
    <s v="Neutral"/>
    <x v="0"/>
    <x v="1"/>
    <s v="Positif"/>
  </r>
  <r>
    <x v="312"/>
    <x v="1"/>
    <x v="11"/>
    <d v="1899-12-30T11:00:00"/>
    <s v="&quot;jaringan internet nya nge lagi banget,sudah dengan bantuan maya ,udah lebih 2 dari 2021,masih gx ada perubahan juga ,saya beli paket akrab ,yang 100 ribu loh masa iya lag , internet nya ,pada saat bermain geme, naik turun koneksi nya tidak stabil ,dan buat,zoometing ,sumpah muter/ lag tidak stabil&quot;"/>
    <x v="0"/>
    <x v="0"/>
    <x v="0"/>
    <s v="-1.0"/>
    <s v="NULL"/>
    <s v="Negative"/>
    <x v="0"/>
    <x v="0"/>
    <s v="Positif"/>
  </r>
  <r>
    <x v="313"/>
    <x v="0"/>
    <x v="12"/>
    <d v="1899-12-30T06:59:00"/>
    <s v="&quot;Sinyal nya parah sih jelek bener ,naik turun terus ,makanya gua beli paketan XL kalo diskon doang selebih nya pake Telkomsel harga sama kualitas jelas diatas xl&quot;"/>
    <x v="0"/>
    <x v="0"/>
    <x v="0"/>
    <s v="-1.0"/>
    <s v="NULL"/>
    <s v="Neutral"/>
    <x v="0"/>
    <x v="1"/>
    <s v="Positif"/>
  </r>
  <r>
    <x v="314"/>
    <x v="1"/>
    <x v="12"/>
    <d v="1899-12-30T04:53:00"/>
    <s v="&quot;Saya sangat kecewa dg myxl ,kenapa setiap saya ngisi paket dg vocer ,saya beli vocer 19 GB tapi cuman masuk 11 GB ,tolong dong jujur yah my XL&quot;"/>
    <x v="0"/>
    <x v="0"/>
    <x v="0"/>
    <s v="-1.0"/>
    <s v="NULL"/>
    <s v="Neutral"/>
    <x v="0"/>
    <x v="1"/>
    <s v="Positif"/>
  </r>
  <r>
    <x v="315"/>
    <x v="3"/>
    <x v="12"/>
    <d v="1899-12-30T03:41:00"/>
    <s v="&quot;Kenapa ya di daerah saya Kediri Jawa Timur, sinyal XL lebih kenceng di wilayah Masjid Agung Kota Kediri, dibandingkan di rumah saya Tinalan disebelahnya Radio Wijang Songko Kediri. Sinyal di Mesjid Agung bisa tembus 1,5mb/s - 3,2mb/s, sedangkan di rumah saya menjangkau 120kb/s saja sangat sulit, apakah ada yang menghalangi sinyal atau apakah? Semoga masalah ini segera diperbaiki karna sangat menyebalkan mengingat saya masih sekolah daring. Salam.&quot;"/>
    <x v="0"/>
    <x v="0"/>
    <x v="0"/>
    <s v="-1.0"/>
    <s v="NULL"/>
    <s v="Positive"/>
    <x v="0"/>
    <x v="2"/>
    <s v="Positif"/>
  </r>
  <r>
    <x v="316"/>
    <x v="1"/>
    <x v="12"/>
    <d v="1899-12-30T03:11:00"/>
    <s v="&quot;Aneh... Mau Isi ulang nomor voucher petunjuknya suruh buka myxl terus barcode...di aplikasinya malah gak ada buat barcode.. Wajar kalo banyak ngasi bintang 1. Apk nya kek gini gimana&quot;"/>
    <x v="0"/>
    <x v="0"/>
    <x v="0"/>
    <s v="-1.0"/>
    <s v="NULL"/>
    <s v="Neutral"/>
    <x v="0"/>
    <x v="1"/>
    <s v="Positif"/>
  </r>
  <r>
    <x v="317"/>
    <x v="1"/>
    <x v="12"/>
    <d v="1899-12-30T02:24:00"/>
    <s v="&quot;XL gak jelas. Saya menonaktifkan paket XTRA COMBO PKUS 20 GB kemudian saya beli lagi paket XTRA COMBO PLUS 10 GB, tapi dianggap non aktif karena sebelumnya menonaktifkan paket XTRA COMBO PLUS 20 GB. Sistemnya ABAL-ABAL. UNINSTAL!!! Kalau gini mending pindah ke by.U!!&quot;"/>
    <x v="0"/>
    <x v="0"/>
    <x v="0"/>
    <s v="-1.0"/>
    <s v="NULL"/>
    <s v="Neutral"/>
    <x v="0"/>
    <x v="1"/>
    <s v="Positif"/>
  </r>
  <r>
    <x v="318"/>
    <x v="3"/>
    <x v="12"/>
    <d v="1899-12-30T01:27:00"/>
    <s v="&quot;XL kenapa setiap melakukan transaksi untuk beli kuota selalu lemot dan gagal aktivasi. Itu membuat pulsa saya berkurang jadi saya tidak bisa membeli paket kuota yang saya ingin kan karena harus menambah pulsa lagi. Tolong untuk segera diperbaiki.&quot;"/>
    <x v="0"/>
    <x v="0"/>
    <x v="0"/>
    <s v="-1.0"/>
    <s v="NULL"/>
    <s v="Neutral"/>
    <x v="0"/>
    <x v="1"/>
    <s v="Positif"/>
  </r>
  <r>
    <x v="319"/>
    <x v="1"/>
    <x v="12"/>
    <d v="1899-12-30T01:23:00"/>
    <s v="&quot;Tolong lah XL, harga kuota sekarang kok mahal banget, udah mahal jaringan pun tidak stabil, tolong kalok bisa di permurah harga kuotanya, sekian...&quot;"/>
    <x v="0"/>
    <x v="0"/>
    <x v="0"/>
    <s v="-1.0"/>
    <s v="NULL"/>
    <s v="Neutral"/>
    <x v="0"/>
    <x v="1"/>
    <s v="Positif"/>
  </r>
  <r>
    <x v="320"/>
    <x v="1"/>
    <x v="12"/>
    <d v="1899-12-30T14:19:00"/>
    <s v="&quot;Sinyal naik turun, hujan dan g hujan sama aja... + milihÃ‚Â² lokasi untuk jaringannya padahal kota besar loh. Masih aja pilihÃ‚Â² lokasi sinyal nya&quot;"/>
    <x v="0"/>
    <x v="0"/>
    <x v="0"/>
    <s v="-1.0"/>
    <s v="NULL"/>
    <s v="Neutral"/>
    <x v="0"/>
    <x v="1"/>
    <s v="Positif"/>
  </r>
  <r>
    <x v="321"/>
    <x v="0"/>
    <x v="13"/>
    <d v="1899-12-30T06:15:00"/>
    <s v="&quot;Tolong dong, saya kan ini kerjanya daring.... jadi perlu paket... paketnya gampang abis... tolong di keluarin paket 30 hari atau 7 hari paket ultimatenya... jadi saya gak perlu beli paket lagi kalo kouta saya habis... tolong dong, sekarang masa PPKM nyari duit susah... jadi saya selalu keluarin duit buat beli paket kalo abis.. Dah itu aja dari saya.&quot;"/>
    <x v="0"/>
    <x v="0"/>
    <x v="0"/>
    <s v="-1.0"/>
    <s v="NULL"/>
    <s v="Positive"/>
    <x v="0"/>
    <x v="2"/>
    <s v="Positif"/>
  </r>
  <r>
    <x v="322"/>
    <x v="0"/>
    <x v="13"/>
    <d v="1899-12-30T04:34:00"/>
    <s v="&quot;Bole aku kasih saran, jika punya dua peket berbeda tolong beri pilihan paket mana yg mesti di gunakan. Tolong buat pengaturan paket.&quot;"/>
    <x v="2"/>
    <x v="2"/>
    <x v="2"/>
    <s v="1.0"/>
    <s v="NULL"/>
    <s v="Neutral"/>
    <x v="0"/>
    <x v="1"/>
    <s v="Positif"/>
  </r>
  <r>
    <x v="323"/>
    <x v="3"/>
    <x v="13"/>
    <d v="1899-12-30T03:06:00"/>
    <s v="&quot;Kecewa banget ama xl sumpah,,,pemberitahuan paket habis gak ada jadwal dan pukul berapa,,asal pengumuman aja,,gak tahu dah gua,,paket masih banyak dah angus,,user xl dari tahun 2016 padahal pake xl malah bikin kecewa&quot;"/>
    <x v="0"/>
    <x v="0"/>
    <x v="0"/>
    <s v="-1.0"/>
    <s v="NULL"/>
    <s v="Neutral"/>
    <x v="0"/>
    <x v="1"/>
    <s v="Positif"/>
  </r>
  <r>
    <x v="324"/>
    <x v="1"/>
    <x v="13"/>
    <d v="1899-12-30T23:28:00"/>
    <s v="&quot;Sinyal mulai gak stabil,sudah males pkai kartu XL. Dikomplain,ujung&quot;nya cuma disuruh matiin hp,, Sinyal ok lagi,,tp beberapa jam kembali lagi tidak lancar,tidak stabil lagi,lama bosen juga pakai kartu Xl,sinyalnya cuma gitu&quot; aja. Sinyal nya Cuma buka apk my xl aja gak kuat,parah gak tu,? XL,XL area boyolali&quot;"/>
    <x v="0"/>
    <x v="0"/>
    <x v="0"/>
    <s v="-1.0"/>
    <s v="NULL"/>
    <s v="Positive"/>
    <x v="0"/>
    <x v="2"/>
    <s v="Positif"/>
  </r>
  <r>
    <x v="325"/>
    <x v="1"/>
    <x v="13"/>
    <d v="1899-12-30T14:17:00"/>
    <s v="&quot;Fitur live chat ga mutu, jawaban dr mesin &quot;Ternyata Maya perlu tambahan waktu untuk melakukan pengecekan, mohon bersabar ya&quot; &amp; &quot;Mohon menunggu sebentar, saat ini Maya sedang melakukan pengecekan&quot; bukannya dpt solusi malah bikin drop pki XL.&quot;"/>
    <x v="0"/>
    <x v="0"/>
    <x v="0"/>
    <s v="-1.0"/>
    <s v="NULL"/>
    <s v="Negative"/>
    <x v="0"/>
    <x v="0"/>
    <s v="Positif"/>
  </r>
  <r>
    <x v="326"/>
    <x v="0"/>
    <x v="13"/>
    <d v="1899-12-30T00:30:00"/>
    <s v="&quot;lumayan, saran user interface dipermudah, dan paket kalo bisa lebih murah aja, akan saya tambah bintang jika saya merasa sudah cukup puas dengan aplikasi&quot;"/>
    <x v="2"/>
    <x v="2"/>
    <x v="2"/>
    <s v="1.0"/>
    <s v="NULL"/>
    <s v="Neutral"/>
    <x v="0"/>
    <x v="1"/>
    <s v="Positif"/>
  </r>
  <r>
    <x v="327"/>
    <x v="1"/>
    <x v="14"/>
    <d v="1899-12-30T04:22:00"/>
    <s v="&quot;Bukan nya bagus pakai aflikasi ini ..masa saya beli pulsa baru baru pilih paket dtng sms...pembelian paket tdk berhasil pulsa hbs paket data tk ada...woiii xl sya beli pulsa pk duit bkn pake daun...&quot;"/>
    <x v="0"/>
    <x v="0"/>
    <x v="0"/>
    <s v="-1.0"/>
    <s v="NULL"/>
    <s v="Neutral"/>
    <x v="0"/>
    <x v="1"/>
    <s v="Positif"/>
  </r>
  <r>
    <x v="328"/>
    <x v="1"/>
    <x v="14"/>
    <d v="1899-12-30T02:45:00"/>
    <s v="&quot;Sekarang malah ga bisa masuk my XL sama sekali.. keluar langsung..ditendang sendiri.. ga bisa cek pulsa..ga bisa beli paket lewat my XL&quot;"/>
    <x v="0"/>
    <x v="0"/>
    <x v="0"/>
    <s v="-1.0"/>
    <s v="NULL"/>
    <s v="Neutral"/>
    <x v="0"/>
    <x v="1"/>
    <s v="Positif"/>
  </r>
  <r>
    <x v="329"/>
    <x v="4"/>
    <x v="14"/>
    <d v="1899-12-30T23:56:00"/>
    <s v="&quot;Sisa kuota saya tinggal 10 GB, kemudian saya isi 14 GB. Seharusnya kan disitu terisi 24 GB, tapi kok saya cek malah 14 GB, seharusnya tambah jadi 24 GB. Tolong di perbaiki. Terima kasih.&quot;"/>
    <x v="1"/>
    <x v="1"/>
    <x v="1"/>
    <s v="0.0"/>
    <s v="NULL"/>
    <s v="Neutral"/>
    <x v="1"/>
    <x v="1"/>
    <s v="Netral"/>
  </r>
  <r>
    <x v="330"/>
    <x v="1"/>
    <x v="14"/>
    <d v="1899-12-30T15:09:00"/>
    <s v="&quot;Hey, pembuat apk my xl, jangan korupsi terhadap paket data orang lain, padahal aku beli paket data 8 GB tpi kok didalamnya cuma 2 GB, mana GB sisanya padahal udah sering saya update apknya di play store disaat ada peringatan untuk update serta sering lemot deh, padahal banyak yg pakek apk ini, tpi kalo gini kami para pelanggan my xl malah terus-terusan ke buang percuma uangnya, dan pembuat apk my xl malah tambah kaya, lebih gunakan pekerjaan anda dengan jujur dan adil. Trims...&quot;"/>
    <x v="0"/>
    <x v="0"/>
    <x v="0"/>
    <s v="-1.0"/>
    <s v="NULL"/>
    <s v="Positive"/>
    <x v="0"/>
    <x v="2"/>
    <s v="Positif"/>
  </r>
  <r>
    <x v="331"/>
    <x v="4"/>
    <x v="14"/>
    <d v="1899-12-30T10:32:00"/>
    <s v="&quot;Lumayan lah.. Tapi dibanding Dg aplikasi operator sebelah masih jauh dari kata Bagus &amp; menarik .. U/saat ini my XL yah gitu aja..&quot;"/>
    <x v="1"/>
    <x v="1"/>
    <x v="1"/>
    <s v="0.0"/>
    <s v="NULL"/>
    <s v="Neutral"/>
    <x v="1"/>
    <x v="1"/>
    <s v="Netral"/>
  </r>
  <r>
    <x v="332"/>
    <x v="2"/>
    <x v="14"/>
    <d v="1899-12-30T10:23:00"/>
    <s v="&quot;XL terbaik untuk harga paket &amp; isi paketnya saat ini, jaringan juga stabil, Jangan Pernah Berubah ya XL, tetep merakyat dikantong kami, para kuli serabutan. Ã¢ËœÂºÃ¯Â¸ÂÃ¢ËœÂºÃ¯Â¸ÂÃ¢ËœÂºÃ¯Â¸ÂÃ°Å¸Â¤Å“Ã°Å¸ÂÂ¾Ã°Å¸Â¤â€ºÃ°Å¸ÂÂ¾&quot;"/>
    <x v="2"/>
    <x v="2"/>
    <x v="2"/>
    <s v="1.0"/>
    <s v="NULL"/>
    <s v="Neutral"/>
    <x v="0"/>
    <x v="1"/>
    <s v="Positif"/>
  </r>
  <r>
    <x v="333"/>
    <x v="1"/>
    <x v="14"/>
    <d v="1899-12-30T10:06:00"/>
    <s v="&quot;Gua saranin jangan beli kartu XL, susah banget sinyalnya bikin emosi, jaringannya suka hilang sendiri, buat WhatsApp, Instagram, Facebook, juga selalu nge lagh, ...&quot;"/>
    <x v="0"/>
    <x v="0"/>
    <x v="0"/>
    <s v="-1.0"/>
    <s v="NULL"/>
    <s v="Neutral"/>
    <x v="0"/>
    <x v="1"/>
    <s v="Positif"/>
  </r>
  <r>
    <x v="334"/>
    <x v="4"/>
    <x v="14"/>
    <d v="1899-12-30T00:51:00"/>
    <s v="&quot;Alhamdulilah bagus sinyalnya tapi apa boleh mengunduh aplikasi my xl dlm satu smartpone dengan nmor berbeda?saya menghubungi mbak maya tapi tidak terhubung meskipun saya sudah mendaftarkannya.&quot;"/>
    <x v="1"/>
    <x v="1"/>
    <x v="1"/>
    <s v="0.0"/>
    <s v="NULL"/>
    <s v="Neutral"/>
    <x v="1"/>
    <x v="1"/>
    <s v="Netral"/>
  </r>
  <r>
    <x v="335"/>
    <x v="4"/>
    <x v="15"/>
    <d v="1899-12-30T07:24:00"/>
    <s v="&quot;Bagus,cuman di aplikasinya kayak agak lambat aja loadingnya padahal kuota banyak,trs akhir akhir ini aku ngrasa paketnya agak lebih boros,padahal cuman wa,ig,dan YouTube sekali kali tapi 1minggu bisa 10gb sendiri&quot;"/>
    <x v="0"/>
    <x v="0"/>
    <x v="0"/>
    <s v="-1.0"/>
    <s v="NULL"/>
    <s v="Neutral"/>
    <x v="0"/>
    <x v="1"/>
    <s v="Positif"/>
  </r>
  <r>
    <x v="336"/>
    <x v="2"/>
    <x v="15"/>
    <d v="1899-12-30T06:49:00"/>
    <s v="&quot;Saya kasih bintang 5 untuk segera memperbaiki layanan sinyalnya... Semakin byk penguna nya harus layanan sinyalnya juga diperbaiki lah supaya tidak lemot... semangat xl&quot;"/>
    <x v="1"/>
    <x v="1"/>
    <x v="1"/>
    <s v="0.0"/>
    <s v="NULL"/>
    <s v="Neutral"/>
    <x v="1"/>
    <x v="1"/>
    <s v="Netral"/>
  </r>
  <r>
    <x v="337"/>
    <x v="1"/>
    <x v="15"/>
    <d v="1899-12-30T06:26:00"/>
    <s v="&quot;Terlepas dari aplikasi nya, jaringan masih sangat Ã°Å¸â€˜Å½, provider bisa berkembang gak? Katanya 4,5g? Kok kualitas jaringan nya kyk H+ malu boss klaim bertolak belakang dgn kenyataan&quot;"/>
    <x v="0"/>
    <x v="0"/>
    <x v="0"/>
    <s v="-1.0"/>
    <s v="NULL"/>
    <s v="Neutral"/>
    <x v="0"/>
    <x v="1"/>
    <s v="Positif"/>
  </r>
  <r>
    <x v="338"/>
    <x v="2"/>
    <x v="15"/>
    <d v="1899-12-30T22:33:00"/>
    <s v="&quot;akses internet saat pagi hari sebelum jam 08.00 sudah cepat...kalo sudah siang jam 10.00 SD jam 16.00 sore kadang macet2 an ...anak sy saat daring kuliah bingung sinyal padahal kuotanya masih banyak&quot;"/>
    <x v="1"/>
    <x v="1"/>
    <x v="1"/>
    <s v="0.0"/>
    <s v="NULL"/>
    <s v="Neutral"/>
    <x v="1"/>
    <x v="1"/>
    <s v="Netral"/>
  </r>
  <r>
    <x v="339"/>
    <x v="3"/>
    <x v="15"/>
    <d v="1899-12-30T17:36:00"/>
    <s v="&quot;Saya sudah lama jadi pengguna XL lebih 5th cuma sekarang jadi ada sistem area waktu ngerantu enak paket murah apalagi bonus area, setelah tidak merantau lagi dikampung harga paket mahal bonus area dikit jadi mohon maaf saya harus ganti provider&quot;"/>
    <x v="0"/>
    <x v="0"/>
    <x v="0"/>
    <s v="-1.0"/>
    <s v="NULL"/>
    <s v="Positive"/>
    <x v="0"/>
    <x v="2"/>
    <s v="Positif"/>
  </r>
  <r>
    <x v="340"/>
    <x v="1"/>
    <x v="15"/>
    <d v="1899-12-30T16:38:00"/>
    <s v="&quot;Niat buat provider ga sih, sinyal makin lama makin lambat, jangan cuma bicara dong, lakuin sesuatu kek apa dateng ke lokasi kek, gitu amat sih pelayanan nya, pliss dong dulu xl ga separah sekarang, sekarang malah jadi dibawah nya 3, parahh!!!&quot;"/>
    <x v="0"/>
    <x v="0"/>
    <x v="0"/>
    <s v="-1.0"/>
    <s v="NULL"/>
    <s v="Neutral"/>
    <x v="0"/>
    <x v="1"/>
    <s v="Positif"/>
  </r>
  <r>
    <x v="341"/>
    <x v="0"/>
    <x v="15"/>
    <d v="1899-12-30T13:32:00"/>
    <s v="&quot;gampang jg,,baru pertama pakek XL,jaringannya aj kurang puas,4 bintang deh,,mantap lh,,bnyak bonus nya lg,tolong wilayah kec sipis pis ,kab ser gai,,di perluas jaringan V4 g nya&quot;"/>
    <x v="2"/>
    <x v="2"/>
    <x v="2"/>
    <s v="1.0"/>
    <s v="NULL"/>
    <s v="Positive"/>
    <x v="0"/>
    <x v="2"/>
    <s v="Positif"/>
  </r>
  <r>
    <x v="342"/>
    <x v="1"/>
    <x v="15"/>
    <d v="1899-12-30T13:29:00"/>
    <s v="&quot;Saya beli paket data EXTRA COMBO VIP 128K, dan masih ada sisa kuota 16 giga dari paket data sebelumnya dengan paket yang sama, tetapi TIDAK TERAKUMULASI, sudah lapor CS 4Hari belom ada kejelasan, untuk harga paket EXTRA COMBO VIP yg 15giga aja ngga dapet 65K TOLONG LAPORAN SAYA SEGERA DI PROSES KECEWA SAYA JADI PELANGGAN XL!!! Karna Harga paket datanya ngga murah!!&quot;"/>
    <x v="0"/>
    <x v="0"/>
    <x v="0"/>
    <s v="-1.0"/>
    <s v="NULL"/>
    <s v="Positive"/>
    <x v="0"/>
    <x v="2"/>
    <s v="Positif"/>
  </r>
  <r>
    <x v="343"/>
    <x v="4"/>
    <x v="15"/>
    <d v="1899-12-30T12:42:00"/>
    <s v="&quot;Sebenernya xl tuh pling enak dn nyaman di sy pribadi, tpi krna 1 msalh ini yng bkin sy kecewa, saat scan vocher kenapa tidak bisa mengambil bonus ny Rp.0 pdahl sy sudh beberpa kali live chat msih tdak ada perubhan, hingga ke 4/5 kalinya sy beli msih tdk bsa&quot;"/>
    <x v="0"/>
    <x v="0"/>
    <x v="0"/>
    <s v="-1.0"/>
    <s v="NULL"/>
    <s v="Positive"/>
    <x v="0"/>
    <x v="2"/>
    <s v="Positif"/>
  </r>
  <r>
    <x v="344"/>
    <x v="1"/>
    <x v="15"/>
    <d v="1899-12-30T11:36:00"/>
    <s v="&quot;Ada masalah apa woii!! Gue buka aplikasi my xl udah bolak balik dari seminggu yg lalu sama sekali gabisa dibuka, padhal udah diupdate, trus uninstall install lagi copot lagi sampe ini lg install lagi Ã°Å¸ËœÂ¤Ã°Å¸ËœÂ¤&quot;"/>
    <x v="0"/>
    <x v="0"/>
    <x v="0"/>
    <s v="-1.0"/>
    <s v="NULL"/>
    <s v="Neutral"/>
    <x v="0"/>
    <x v="1"/>
    <s v="Positif"/>
  </r>
  <r>
    <x v="345"/>
    <x v="1"/>
    <x v="15"/>
    <d v="1899-12-30T11:20:00"/>
    <s v="&quot;Maaf kenapa saya login di aplikasi my xl tidak pernah bisa. Sudah saya coba berkali kali tetap tidak bisa. Tolong diperbaiki!&quot;"/>
    <x v="0"/>
    <x v="0"/>
    <x v="0"/>
    <s v="-1.0"/>
    <s v="NULL"/>
    <s v="Neutral"/>
    <x v="0"/>
    <x v="1"/>
    <s v="Positif"/>
  </r>
  <r>
    <x v="346"/>
    <x v="2"/>
    <x v="15"/>
    <d v="1899-12-30T00:59:00"/>
    <s v="&quot;dulu sempat jadi pelanggan XL gara&quot; dapat gratisan sms &amp; pindah ke oprator lain karna XL lebih mahal Dan sekarang Saya Menjadi pelanggan XL Selama 4 bulan Terahir gara&quot; beli Voucher Cuma 68.000 Sudah Dapat 40 GB, Sudah Bebas Ngakses Youtube, ig, Dll mantab pokok nya XL SEMOGA KEDEPANNYA MASIH TETAP DIHATI SEMOGA KEBACA&quot;"/>
    <x v="2"/>
    <x v="2"/>
    <x v="2"/>
    <s v="1.0"/>
    <s v="NULL"/>
    <s v="Neutral"/>
    <x v="0"/>
    <x v="1"/>
    <s v="Positif"/>
  </r>
  <r>
    <x v="347"/>
    <x v="0"/>
    <x v="15"/>
    <d v="1899-12-30T00:21:00"/>
    <s v="&quot;aplikasi yang walau kadang suka bikin kesel karena katanya jaringan enggak stabil tapi tetep jadi andalan kapanpun dan di manapun buat cek kuota dan beli kuota walau kadang *123# ada beberapa promo lebih murah....&quot;"/>
    <x v="2"/>
    <x v="2"/>
    <x v="2"/>
    <s v="1.0"/>
    <s v="NULL"/>
    <s v="Neutral"/>
    <x v="0"/>
    <x v="1"/>
    <s v="Positif"/>
  </r>
  <r>
    <x v="348"/>
    <x v="1"/>
    <x v="16"/>
    <d v="1899-12-30T06:49:00"/>
    <s v="&quot;Kapok deh beli kuota xl lagi, baru beli kuota yang sebulan gak bisa dipakai karena koneksinya jelek, nge ping ke google aja rto terus. Mending setia aja deh ke si merah, biar mahal tapi koneksi stabil.&quot;"/>
    <x v="0"/>
    <x v="0"/>
    <x v="0"/>
    <s v="-1.0"/>
    <s v="NULL"/>
    <s v="Neutral"/>
    <x v="0"/>
    <x v="1"/>
    <s v="Positif"/>
  </r>
  <r>
    <x v="349"/>
    <x v="2"/>
    <x v="16"/>
    <d v="1899-12-30T05:06:00"/>
    <s v="&quot;Jangan pake xL lagi. Singal kyk babi. Najis jaringan nya. Mending indosat lancar jayaaaaaa... Kecewa sumpah sinyal buruk . Ini udh jaman 4g mau naik ke 5g. Masa jadi E+ . Mau balik ke jaman jadull...&quot;"/>
    <x v="0"/>
    <x v="0"/>
    <x v="0"/>
    <s v="-1.0"/>
    <s v="NULL"/>
    <s v="Neutral"/>
    <x v="0"/>
    <x v="1"/>
    <s v="Positif"/>
  </r>
  <r>
    <x v="350"/>
    <x v="1"/>
    <x v="16"/>
    <d v="1899-12-30T04:55:00"/>
    <s v="&quot;Xl Parah banget. Liat Sms tiba2 ada pesan Kuota diperpanjang di tgl 23 january. Pulsa saya tiba2 di sedot buat beli kuota padahal saya gak beli. Kuota sebelumnya juga msa berlakunya sampai 5 february isi kuota juga msih 7gb. Di transaksi gk ada history padahal di appnya gk bisa hapus hisyori. Saya cek kontrol pulsa saya semua saya aktifin biar gak sedot pulsa. Jadi apa2 nih kok kuta saya di sedot seenaknnya. Balikin pulsa saya, saya gk butuh perpanjangan kuota klo gk beli. Kyk dimaling saya&quot;"/>
    <x v="0"/>
    <x v="0"/>
    <x v="0"/>
    <s v="-1.0"/>
    <s v="NULL"/>
    <s v="Neutral"/>
    <x v="0"/>
    <x v="1"/>
    <s v="Positif"/>
  </r>
  <r>
    <x v="351"/>
    <x v="1"/>
    <x v="16"/>
    <d v="1899-12-30T03:59:00"/>
    <s v="&quot;rasa nya mau ku patahkan aja kartu xl nya ini.. lelet nya gk ke tolongan asik mutarÃ‚Â² aja, perbaiki lah tolong jaringan internet nya jangan ke 5G lah kalo 4G aja masih lemot gini... daerah mariendal 1 deliserdang. sumatera utara&quot;"/>
    <x v="0"/>
    <x v="0"/>
    <x v="0"/>
    <s v="-1.0"/>
    <s v="NULL"/>
    <s v="Neutral"/>
    <x v="0"/>
    <x v="1"/>
    <s v="Positif"/>
  </r>
  <r>
    <x v="352"/>
    <x v="0"/>
    <x v="16"/>
    <d v="1899-12-30T23:08:00"/>
    <s v="&quot;XL sudah cukup bagus, namun terkadang sinyal atau jaringan kurang joss tapi ini sudah cukup kok. Saya harap kedepannya XL semakin maju lagi dan lebih baik lagi ya. Terima Kasih.... :)&quot;"/>
    <x v="2"/>
    <x v="2"/>
    <x v="2"/>
    <s v="1.0"/>
    <s v="NULL"/>
    <s v="Neutral"/>
    <x v="0"/>
    <x v="1"/>
    <s v="Positif"/>
  </r>
  <r>
    <x v="353"/>
    <x v="0"/>
    <x v="16"/>
    <d v="1899-12-30T21:49:00"/>
    <s v="&quot;Dapat diskonan paketan 65 Gb, tapi ketika di aktifkan hanya dapat 56 Gb, kenapa bisa gak sama hasilnya? Tapi untuk keseluruhan Xl Ã°Å¸â€˜Å’Ã°Å¸â€˜Å’Ã°Å¸â€˜Å’&quot;"/>
    <x v="2"/>
    <x v="2"/>
    <x v="2"/>
    <s v="1.0"/>
    <s v="NULL"/>
    <s v="Neutral"/>
    <x v="0"/>
    <x v="1"/>
    <s v="Positif"/>
  </r>
  <r>
    <x v="354"/>
    <x v="3"/>
    <x v="16"/>
    <d v="1899-12-30T01:02:00"/>
    <s v="&quot;Kemarin saya beli paket data 40GB tapi yg masuk cuman 13GB. Lah, gak terima dong!!! Belinya 40GB masuknya 13GB doang. Kembali ke konter tempat beli data, katanya gangguan. Sudah di laporkan sama mbak konternya ke XL, tapi sampai sekarang kuota saya belum bertambah loh! Masih tetap 13GB!! Sumpah kecewa!! BertahunÃ‚Â² saya pakai XL, baru kali ini kecewa!! Pokoknya saya tidak mau tau, kuota saya harus 40GB dong sesuai dengan yang saya beli!!!&quot;"/>
    <x v="0"/>
    <x v="0"/>
    <x v="0"/>
    <s v="-1.0"/>
    <s v="NULL"/>
    <s v="Neutral"/>
    <x v="0"/>
    <x v="1"/>
    <s v="Positif"/>
  </r>
  <r>
    <x v="355"/>
    <x v="2"/>
    <x v="16"/>
    <d v="1899-12-30T17:43:00"/>
    <s v="&quot;kuota sangat lengkap,murah lagi tapi sayang untuk kecepatan internet untuk di wilayah saya masih suka lelet tiba tiba jadi tolong diperbaiki kualitas sinyal nya ya kakÃ°Å¸â„¢Â&quot;"/>
    <x v="2"/>
    <x v="2"/>
    <x v="2"/>
    <s v="1.0"/>
    <s v="NULL"/>
    <s v="Neutral"/>
    <x v="0"/>
    <x v="1"/>
    <s v="Positif"/>
  </r>
  <r>
    <x v="356"/>
    <x v="3"/>
    <x v="16"/>
    <d v="1899-12-30T15:02:00"/>
    <s v="&quot;Sudah beberapa hari ini sinyal semakin buruk tidak bisa buat main game Sedikit kecewa karena sudah lama memakai kartu xl Baru kali ini kecewa sekali Tolong di perbaiki&quot;"/>
    <x v="0"/>
    <x v="0"/>
    <x v="0"/>
    <s v="-1.0"/>
    <s v="NULL"/>
    <s v="Neutral"/>
    <x v="0"/>
    <x v="1"/>
    <s v="Positif"/>
  </r>
  <r>
    <x v="357"/>
    <x v="1"/>
    <x v="16"/>
    <d v="1899-12-30T14:34:00"/>
    <s v="&quot;Tanpa ada pemberitahuan kalau sinyal down ? Ini saya lagi ngojol kalau kenapa kenapa denga akun saya gimana gara gara sinyal down !!! Toling dong ini sudah 2022 diperbaikin lagi sistemnya bukan nya malah makin baik malah makin buruk nih XL&quot;"/>
    <x v="0"/>
    <x v="0"/>
    <x v="0"/>
    <s v="-1.0"/>
    <s v="NULL"/>
    <s v="Neutral"/>
    <x v="0"/>
    <x v="1"/>
    <s v="Positif"/>
  </r>
  <r>
    <x v="358"/>
    <x v="2"/>
    <x v="16"/>
    <d v="1899-12-30T11:10:00"/>
    <s v="&quot;Ada apa dengan AXIS Kok sering LEMOT Semoga XL &amp; AXIS jaringannya semakin kuat, sebab saya pengguna XL &amp; AXIS. Semangat.....!! Semoga XL &amp; AXIS semakin kuat jaringannya. Aamiin..&quot;"/>
    <x v="2"/>
    <x v="2"/>
    <x v="2"/>
    <s v="1.0"/>
    <s v="NULL"/>
    <s v="Neutral"/>
    <x v="0"/>
    <x v="1"/>
    <s v="Positif"/>
  </r>
  <r>
    <x v="359"/>
    <x v="1"/>
    <x v="16"/>
    <d v="1899-12-30T10:36:00"/>
    <s v="&quot;XL gila!!!!! Sumpah masa ditulis promo kuotanya 60 GB tapi yang datang malah 40 GB, bukannya apaÃ‚Â² cuman yang bener dong kalo bikin promosi tuh!!!! Mana boros lagi!!! Ga bakal pakai XL lagi!!!!&quot;"/>
    <x v="0"/>
    <x v="0"/>
    <x v="0"/>
    <s v="-1.0"/>
    <s v="NULL"/>
    <s v="Neutral"/>
    <x v="0"/>
    <x v="1"/>
    <s v="Positif"/>
  </r>
  <r>
    <x v="360"/>
    <x v="1"/>
    <x v="17"/>
    <d v="1899-12-30T09:34:00"/>
    <s v="&quot;XL semakin tidak bagus jaringannya sudah beli kuota di aplikasi XL jelek kawan-kawan semua beralih ke jaringan indosat atau telkomsel...kalau seperti ini terus jaringan XL&quot;"/>
    <x v="0"/>
    <x v="0"/>
    <x v="0"/>
    <s v="-1.0"/>
    <s v="NULL"/>
    <s v="Neutral"/>
    <x v="0"/>
    <x v="1"/>
    <s v="Positif"/>
  </r>
  <r>
    <x v="361"/>
    <x v="1"/>
    <x v="17"/>
    <d v="1899-12-30T08:20:00"/>
    <s v="&quot;Baru isi paket jaringannya rusak banget ga bisa dipake buat apapun. Jangankan sosial media , apk xl nya sendiri aja ga bisa kebuka karna jaringan burik nyesel beli kartu xl&quot;"/>
    <x v="0"/>
    <x v="0"/>
    <x v="0"/>
    <s v="-1.0"/>
    <s v="NULL"/>
    <s v="Neutral"/>
    <x v="0"/>
    <x v="1"/>
    <s v="Positif"/>
  </r>
  <r>
    <x v="362"/>
    <x v="1"/>
    <x v="17"/>
    <d v="1899-12-30T07:33:00"/>
    <s v="&quot;Payah dahlah.. pindah provider aja... udah sinyal lemah. harga mahal.. kode veritifikasi login lama mask nya pula... 5 menit baru masuk sedangkan dalam 5 menit itu kode sudah hangus gmna itu.... payah&quot;"/>
    <x v="0"/>
    <x v="0"/>
    <x v="0"/>
    <s v="-1.0"/>
    <s v="NULL"/>
    <s v="Neutral"/>
    <x v="0"/>
    <x v="1"/>
    <s v="Positif"/>
  </r>
  <r>
    <x v="363"/>
    <x v="1"/>
    <x v="17"/>
    <d v="1899-12-30T07:24:00"/>
    <s v="&quot;Banyak Bug/eror apk gk jelass, bukannya mempermudah malah mempersulit!!!!!!!!! Saran saya sih mending cek/isi ulangnya di buat juga di web supaya kalau di apk gk bisa bisa ke web.....&quot;"/>
    <x v="0"/>
    <x v="0"/>
    <x v="0"/>
    <s v="-1.0"/>
    <s v="NULL"/>
    <s v="Neutral"/>
    <x v="0"/>
    <x v="1"/>
    <s v="Positif"/>
  </r>
  <r>
    <x v="364"/>
    <x v="2"/>
    <x v="17"/>
    <d v="1899-12-30T07:20:00"/>
    <s v="&quot;Min ko gangguannya tiap minggu ya?? Kalo gak becus kerja bakar aja tuh perusahaan xl gak guna..kuota mahal tapi jaringan lemot,katanya kapanpun dan di manapun gblok dasar&quot;"/>
    <x v="0"/>
    <x v="0"/>
    <x v="0"/>
    <s v="-1.0"/>
    <s v="NULL"/>
    <s v="Neutral"/>
    <x v="0"/>
    <x v="1"/>
    <s v="Positif"/>
  </r>
  <r>
    <x v="365"/>
    <x v="1"/>
    <x v="17"/>
    <d v="1899-12-30T07:16:00"/>
    <s v="&quot;Sumpah ini jaringan XL makin ke sini makin parah gw kerja dari rumah buat kirim bukti fail lola bgt sumpah ampe di maki maki pimpinan gw tolong donk di perbaiki sedikit kita butuh jaringan anda stabil karna kita pekerjaan membutuhkan kesetabilan dalam bekerja :(&quot;"/>
    <x v="0"/>
    <x v="0"/>
    <x v="0"/>
    <s v="-1.0"/>
    <s v="NULL"/>
    <s v="Negative"/>
    <x v="0"/>
    <x v="0"/>
    <s v="Positif"/>
  </r>
  <r>
    <x v="366"/>
    <x v="2"/>
    <x v="17"/>
    <d v="1899-12-30T05:02:00"/>
    <s v="&quot;Sinyal bagus dan stabil serta banyak diskon untuk paket kuota saya senang Hal yang mengganggu adalah setiap mati lampu kenapa koneksi sinyal terputus??&quot;"/>
    <x v="2"/>
    <x v="2"/>
    <x v="2"/>
    <s v="1.0"/>
    <s v="NULL"/>
    <s v="Neutral"/>
    <x v="0"/>
    <x v="1"/>
    <s v="Positif"/>
  </r>
  <r>
    <x v="367"/>
    <x v="1"/>
    <x v="17"/>
    <d v="1899-12-30T04:32:00"/>
    <s v="&quot;Kirain gangguan sinyal , sampai 2 hari itu mah gangguan jiwa , parah lu , quota gue msh 22GB , ini aja gue on pake smart pren , balikin ga?????&quot;"/>
    <x v="0"/>
    <x v="0"/>
    <x v="0"/>
    <s v="-1.0"/>
    <s v="NULL"/>
    <s v="Positive"/>
    <x v="0"/>
    <x v="2"/>
    <s v="Positif"/>
  </r>
  <r>
    <x v="368"/>
    <x v="1"/>
    <x v="17"/>
    <d v="1899-12-30T04:07:00"/>
    <s v="&quot;Kenapa signal XL sering hilang , mohon di perbaiki , jgn sampai pengguna XL gak puas , utamakan pelayanan , faham ?? , Maaf aku kasih bintang 1 , kalau signal XL udh stabil baru bintang nya di full kan&quot;"/>
    <x v="0"/>
    <x v="0"/>
    <x v="0"/>
    <s v="-1.0"/>
    <s v="NULL"/>
    <s v="Neutral"/>
    <x v="0"/>
    <x v="1"/>
    <s v="Positif"/>
  </r>
  <r>
    <x v="369"/>
    <x v="4"/>
    <x v="17"/>
    <d v="1899-12-30T15:53:00"/>
    <s v="&quot;Fitur aplikasinya bagus. Tp sy agak kesel sama jaringannya ya. Tidak menjangkau semua wilayah. Mungkin memang xl cocok utk orang2 urban, tp kurang bisa diajak flexible Klo bepergian&quot;"/>
    <x v="0"/>
    <x v="0"/>
    <x v="0"/>
    <s v="-1.0"/>
    <s v="NULL"/>
    <s v="Positive"/>
    <x v="0"/>
    <x v="2"/>
    <s v="Positif"/>
  </r>
  <r>
    <x v="370"/>
    <x v="1"/>
    <x v="17"/>
    <d v="1899-12-30T15:35:00"/>
    <s v="&quot;Kenapa sih gak bisa bagi pulsa ke Operator lain selain xl/axis. Padahal lagi butuh banget, lagi darurat banget malahan mau dipake dicoba nggak jadi-jadi. Tolong dibisain dong,biar kalo lagi kepepet tengah malem gini gak bingung.&quot;"/>
    <x v="0"/>
    <x v="0"/>
    <x v="0"/>
    <s v="-1.0"/>
    <s v="NULL"/>
    <s v="Neutral"/>
    <x v="0"/>
    <x v="1"/>
    <s v="Positif"/>
  </r>
  <r>
    <x v="371"/>
    <x v="1"/>
    <x v="17"/>
    <d v="1899-12-30T15:16:00"/>
    <s v="&quot;Sumpah udah hampir mau sebulan jaringan internet gak stabil,di sabar sabarin tadi nya sih di kira cuma sehari dua hari!!!! tapi skrng sudah habis kesabaran nya.huft mohon maafÃ°Å¸â„¢Â&quot;"/>
    <x v="0"/>
    <x v="0"/>
    <x v="0"/>
    <s v="-1.0"/>
    <s v="NULL"/>
    <s v="Neutral"/>
    <x v="0"/>
    <x v="1"/>
    <s v="Positif"/>
  </r>
  <r>
    <x v="372"/>
    <x v="1"/>
    <x v="17"/>
    <d v="1899-12-30T14:11:00"/>
    <s v="&quot;Jelek bgt. Baru isi paket data signal ilang mulu, terkadang malah kartu tdk terbaca. Tlglah ditingkatkan lagi, katanya XL Prioritas. Thank you&quot;"/>
    <x v="0"/>
    <x v="0"/>
    <x v="0"/>
    <s v="-1.0"/>
    <s v="NULL"/>
    <s v="Positive"/>
    <x v="0"/>
    <x v="2"/>
    <s v="Positif"/>
  </r>
  <r>
    <x v="373"/>
    <x v="1"/>
    <x v="17"/>
    <d v="1899-12-30T13:47:00"/>
    <s v="&quot;Buat apa ada kuota youtube 24jam kalo kuota regular yg di sedot !!! Fak XL BIKIN NAIK DARAH !!!!!! Sangat buruk XL SANGAT BURUK !!!&quot;"/>
    <x v="0"/>
    <x v="0"/>
    <x v="0"/>
    <s v="-1.0"/>
    <s v="NULL"/>
    <s v="Neutral"/>
    <x v="0"/>
    <x v="1"/>
    <s v="Positif"/>
  </r>
  <r>
    <x v="374"/>
    <x v="1"/>
    <x v="17"/>
    <d v="1899-12-30T13:21:00"/>
    <s v="&quot;Saya kecewa banget sama xl,dulu XL cepet banget jaringannya,sampai menurut saya kemungkinan lag/lemot itu cuma beberapa persen,tapi,sekarang berbeda,malahan lag/ lemottt banget,tolong dari pihak XL perbaiki jaringannya,dan saya juga bingung Ã°Å¸Ëœâ€¢,cara ngaktifin LTE XL di hape Vivo y1s atau Vivo 1929 gmn&quot;"/>
    <x v="0"/>
    <x v="0"/>
    <x v="0"/>
    <s v="-1.0"/>
    <s v="NULL"/>
    <s v="Negative"/>
    <x v="0"/>
    <x v="0"/>
    <s v="Positif"/>
  </r>
  <r>
    <x v="375"/>
    <x v="1"/>
    <x v="17"/>
    <d v="1899-12-30T13:03:00"/>
    <s v="&quot;Sangat mengecewakan beli kuota 12.500 katanya 5 gb 1.5 gb kuota utama 500mb youtube dan 2.5gb kuota lokal masa yang dapet malah 2.5 gb? Beli 5gb yang dapet cuma setengahnya? Kemana 2.5gb nya?? Mengecewakan lebih untung im3 cara aku dari pada ini pembohong&quot;"/>
    <x v="0"/>
    <x v="0"/>
    <x v="0"/>
    <s v="-1.0"/>
    <s v="NULL"/>
    <s v="Neutral"/>
    <x v="0"/>
    <x v="1"/>
    <s v="Positif"/>
  </r>
  <r>
    <x v="376"/>
    <x v="1"/>
    <x v="17"/>
    <d v="1899-12-30T12:32:00"/>
    <s v="&quot;Sumpah sama XL udah gak bener kemaren beli kuota Rp120.000. Pulsa nya terpotong paketnya gak masuk.. Sekarang beli kuota malah kuota lokal nya yang gak masuk.. Dan mau nya nipu nipu mulu heran !! Heran sama XL bener.. !? Asudahlah.. Ganti Daplover yang pasti pasti aja&quot;"/>
    <x v="0"/>
    <x v="0"/>
    <x v="0"/>
    <s v="-1.0"/>
    <s v="NULL"/>
    <s v="Neutral"/>
    <x v="0"/>
    <x v="1"/>
    <s v="Positif"/>
  </r>
  <r>
    <x v="377"/>
    <x v="1"/>
    <x v="17"/>
    <d v="1899-12-30T12:10:00"/>
    <s v="&quot;Makasih ya udah membuat saya MARAH marah sampe sakit cuma mau bilang XL sukses buat gue sakit pusing serius untung gak serius semoga kalian baik baik aja yaa soalnya biasanya apa yg kamu lakukan kamu juga akan mendapatkan yg sama TRIms.. KL belum dibetulin gausah minta bintang 5 gak pantes sadar diri sinyal lu jelek bersyukur aja masih ada yang pakeÃ°Å¸â„¢â€š, kenapa ya saya beli paket 11,5gb 20rb malah msknya 6gb? Situ korupsi? Saya udh bayar 20rb lho? Udh sinyalnya jelek pelayanannya buruk&quot;"/>
    <x v="0"/>
    <x v="0"/>
    <x v="0"/>
    <s v="-1.0"/>
    <s v="NULL"/>
    <s v="Neutral"/>
    <x v="0"/>
    <x v="1"/>
    <s v="Positif"/>
  </r>
  <r>
    <x v="378"/>
    <x v="1"/>
    <x v="17"/>
    <d v="1899-12-30T11:18:00"/>
    <s v="&quot;Gimana sih xl nih!!!?? Masa aku barusan beli paketan 10gb 16rb, tapi tiba tiba jadi 4gb 16rb??! Apa gara gara promo nya habis?? Padahal pertama masih kmrn masih bnr lho.. Suka nya nambah ngurang sendiri.. Bonus yg di dpt juga beda.. Masa tulisannya 1gb tapi nyatanya cuma 200mb??!.. Gimana nih.. Saya pelanggan setia xl lho.. Kecewa saya Mana aplikasinya lemot banget lagi -_-||&quot;"/>
    <x v="0"/>
    <x v="0"/>
    <x v="0"/>
    <s v="-1.0"/>
    <s v="NULL"/>
    <s v="Positive"/>
    <x v="0"/>
    <x v="2"/>
    <s v="Positif"/>
  </r>
  <r>
    <x v="379"/>
    <x v="1"/>
    <x v="17"/>
    <d v="1899-12-30T10:57:00"/>
    <s v="&quot;Saya biasanya beli paket yg 1 minggu 12 ribuan dengan paket 11 gb....sekarang yg masuk cuman paket utama dan paket YT, paket bonusya tidak masuk. Tolong solusinya gmna? Apa yg harus saya lakukan? Atau kah hrus saya kembali ke TELKOMSEL karena pelayanan beli paketnya banya penjpuan&quot;"/>
    <x v="0"/>
    <x v="0"/>
    <x v="0"/>
    <s v="-1.0"/>
    <s v="NULL"/>
    <s v="Neutral"/>
    <x v="0"/>
    <x v="1"/>
    <s v="Positif"/>
  </r>
  <r>
    <x v="380"/>
    <x v="1"/>
    <x v="17"/>
    <d v="1899-12-30T10:16:00"/>
    <s v="&quot;Maaf ini kenapa ya, saya baru beli paket kemarin 13 gb trus saya juga dapet bonus unlimited ig sm fb, dan saya cuma pake buat main wa, ig, dan fb tp knpa hari ini tiba&quot; kouta sya tinggal 6 gb, kesel banget sm xl skrng jadi males pake xl&quot;"/>
    <x v="0"/>
    <x v="0"/>
    <x v="0"/>
    <s v="-1.0"/>
    <s v="NULL"/>
    <s v="Positive"/>
    <x v="0"/>
    <x v="2"/>
    <s v="Positif"/>
  </r>
  <r>
    <x v="381"/>
    <x v="0"/>
    <x v="18"/>
    <d v="1899-12-30T08:55:00"/>
    <s v="&quot;Tlong SINYALNYA!! .kenapa ya akhir akhir ini sinyalnya dateng lgi ilang lgi, saya sampai gk bisa ngirim tugas(untung gurunya pengertian:v) + nonton anime. plis sinyal anda dimana? Tugas saya masih banyak yg blom dikumpul, mana rapotan udh deket lgi. Tolong kedepannyaÃ°Å¸â„¢ÂÃ°Å¸ÂÂ» sinyal oh sinyal~&quot;"/>
    <x v="0"/>
    <x v="0"/>
    <x v="0"/>
    <s v="-1.0"/>
    <s v="NULL"/>
    <s v="Neutral"/>
    <x v="0"/>
    <x v="1"/>
    <s v="Positif"/>
  </r>
  <r>
    <x v="382"/>
    <x v="1"/>
    <x v="18"/>
    <d v="1899-12-30T07:57:00"/>
    <s v="&quot;Jaringan gk jelas lag terus !! Padahal kouta masih 200 GB pas di pake serasa menggunkan kouta 100 mb lag parah buka youtube aja gk bisa !! Gk jelas Sama jaringan selama 4 bulan ini Kenapa cuman 1 bantang doang padahal gw tinggal di kota bukan di desa&quot;"/>
    <x v="0"/>
    <x v="0"/>
    <x v="0"/>
    <s v="-1.0"/>
    <s v="NULL"/>
    <s v="Negative"/>
    <x v="0"/>
    <x v="0"/>
    <s v="Positif"/>
  </r>
  <r>
    <x v="383"/>
    <x v="0"/>
    <x v="18"/>
    <d v="1899-12-30T06:11:00"/>
    <s v="&quot;Layanan nya memuaskan, sayangnya saya tidak bisa memberikan bintang 5 soalnya, harga paketnya masih jauh dari yg idamkan pengguna, tolonglah turunkan harga paket internet nyaÃ°Å¸â„¢Â&quot;"/>
    <x v="2"/>
    <x v="2"/>
    <x v="2"/>
    <s v="1.0"/>
    <s v="NULL"/>
    <s v="Neutral"/>
    <x v="0"/>
    <x v="1"/>
    <s v="Positif"/>
  </r>
  <r>
    <x v="384"/>
    <x v="1"/>
    <x v="18"/>
    <d v="1899-12-30T06:06:00"/>
    <s v="&quot;Saya beli paket tidak masuk saya coma mengubungi no layanan cuman pulsa. Yang habis di suruh chat live pun gak ada ke jelasan nya . Untuk saat ini penilai saya .. Costumer servis xl sangat jelek sekali&quot;"/>
    <x v="0"/>
    <x v="0"/>
    <x v="0"/>
    <s v="-1.0"/>
    <s v="NULL"/>
    <s v="Negative"/>
    <x v="0"/>
    <x v="0"/>
    <s v="Positif"/>
  </r>
  <r>
    <x v="385"/>
    <x v="1"/>
    <x v="18"/>
    <d v="1899-12-30T05:38:00"/>
    <s v="&quot;Kecewa keluhan respon nya lelet.. Yg td nya kuota tinggal 20 GB hilang gitu aja tanpa pemberitahuan.. Beli lg kuota yg 6 GB dgn masa aktiv 30 hri malah 1 malam hilang gitu aja.. XL ada apa ? Kecewa banget.. Maaf ngasih ranting bintang 1 biar bisa memperbaiki kualitas..&quot;"/>
    <x v="0"/>
    <x v="0"/>
    <x v="0"/>
    <s v="-1.0"/>
    <s v="NULL"/>
    <s v="Neutral"/>
    <x v="0"/>
    <x v="1"/>
    <s v="Positif"/>
  </r>
  <r>
    <x v="386"/>
    <x v="1"/>
    <x v="18"/>
    <d v="1899-12-30T03:20:00"/>
    <s v="&quot;Di dsn . Sonopinggir rt02 rw01 desa juwet kecamatan ngronggot kabupaten nganjuk sinyal xl axiata zonk . Lelet . Lemot. Kek keong sawah . Masak sinyal cuma 2 batang doang . Buat download 1 jam baru rampung . Buat nonton youtube cuma di 144p di 360p lemot . Zonk . Lelet. Keksiput udah harga paket mahal masak 20rebu 2 giga gak ada bonusnya . Kayak indosat . Udahmurah. Sinyalnya bagus . Sampaike plosok desa . Hargapaket sesui kantong sampai kapan xl axiata begini terus&quot;"/>
    <x v="0"/>
    <x v="0"/>
    <x v="0"/>
    <s v="-1.0"/>
    <s v="NULL"/>
    <s v="Neutral"/>
    <x v="0"/>
    <x v="1"/>
    <s v="Positif"/>
  </r>
  <r>
    <x v="387"/>
    <x v="1"/>
    <x v="18"/>
    <d v="1899-12-30T02:22:00"/>
    <s v="&quot;Benar benar kecewa dah pake XL. Dah kuota nya ga jelas. Sinyalnya jelek dan lemot pula. Udah byk yg komplen tp kayanya disepelekan busnget. Ga ada kynya niat mo perbaiki&quot;"/>
    <x v="0"/>
    <x v="0"/>
    <x v="0"/>
    <s v="-1.0"/>
    <s v="NULL"/>
    <s v="Neutral"/>
    <x v="0"/>
    <x v="1"/>
    <s v="Positif"/>
  </r>
  <r>
    <x v="388"/>
    <x v="3"/>
    <x v="18"/>
    <d v="1899-12-30T18:49:00"/>
    <s v="&quot;Gak jelas sekarang XL masa sinyal penuh jaringan 4G tapi tetep leg terus, tahun&quot; kemaren ngga gini, masih bagus, tapi sekarang&quot; malah makin jelek&quot;"/>
    <x v="0"/>
    <x v="0"/>
    <x v="0"/>
    <s v="-1.0"/>
    <s v="NULL"/>
    <s v="Neutral"/>
    <x v="0"/>
    <x v="1"/>
    <s v="Positif"/>
  </r>
  <r>
    <x v="389"/>
    <x v="1"/>
    <x v="18"/>
    <d v="1899-12-30T18:42:00"/>
    <s v="&quot;Kecewa berat.. pesan paket dari WA XL prioritas, hampir 1 bulan gak ada juga paketnya.. duit uda transfer. Ini kalau bisa aku mau kasih bintang 10 negative .&quot;"/>
    <x v="0"/>
    <x v="0"/>
    <x v="0"/>
    <s v="-1.0"/>
    <s v="NULL"/>
    <s v="Negative"/>
    <x v="0"/>
    <x v="0"/>
    <s v="Positif"/>
  </r>
  <r>
    <x v="390"/>
    <x v="1"/>
    <x v="18"/>
    <d v="1899-12-30T17:34:00"/>
    <s v="&quot;Saya sangat kecewa pakai XL , no. Kartu saya ada masalah : ditlp dan TLP keluar tidak bisa,sdh dtg ke agent 3 kali, 1.bisa dibantu normal selang sehari Kambuh lagi , 2. Disarankan ganti kartu baru bayar Rp.10.ribu + isi pulas Rp 10.ribu bisa dipakai untuk sms tgg 1x 24 jam normal seperti biasa selang sehari Kambuh lagi , dtg ke 3 ke agent jawabannya tidak ada masalah tapi kartu tetap TDK aktif cuma klo untuk paket data masih bisa malah disarankan harus ganti nomer. ini jawaban yg paling kecewa&quot;"/>
    <x v="0"/>
    <x v="0"/>
    <x v="0"/>
    <s v="-1.0"/>
    <s v="NULL"/>
    <s v="Neutral"/>
    <x v="0"/>
    <x v="1"/>
    <s v="Positif"/>
  </r>
  <r>
    <x v="391"/>
    <x v="3"/>
    <x v="18"/>
    <d v="1899-12-30T13:48:00"/>
    <s v="&quot;Awal2 beli seneng sih pket murah, tiap kali beli pulsa &amp; paket juga dpt bonusan, tp hari ini saya kecewa krna wktu hubungi maya eh live agentnya menyebalkan.. pdhl org bukan boot, agent tp susah bgt ngomong maaf, tolong, dan ngejelasin dg baik.. Training lagi ya agent2 nya, gue mles spill agent brp yg bls cht kmrn..&quot;"/>
    <x v="0"/>
    <x v="0"/>
    <x v="0"/>
    <s v="-1.0"/>
    <s v="NULL"/>
    <s v="Neutral"/>
    <x v="0"/>
    <x v="1"/>
    <s v="Positif"/>
  </r>
  <r>
    <x v="392"/>
    <x v="1"/>
    <x v="18"/>
    <d v="1899-12-30T10:33:00"/>
    <s v="&quot;Gw udh download pas di buka masuk aplnya eh mlah terjadi kesalahan mulu. Cobalah beberapa saat lg pas di tungguin berminggu minggu ttp aja sama terjadi kesalahan. XL sekrang payah mending gantibkrtu dh drpada kecewa mulu&quot;"/>
    <x v="0"/>
    <x v="0"/>
    <x v="0"/>
    <s v="-1.0"/>
    <s v="NULL"/>
    <s v="Neutral"/>
    <x v="0"/>
    <x v="1"/>
    <s v="Positif"/>
  </r>
  <r>
    <x v="393"/>
    <x v="1"/>
    <x v="19"/>
    <d v="1899-12-30T09:53:00"/>
    <s v="&quot;Ini kenapa lagi jaringan XL malah makin lemot nyesel saya udh berlangganan selama ni rupanya pas d awal aja kartunya bagus jaringan nya makin berlangganan makin buruk jaringan nya malah makin hancur sia&quot; jadinya&quot;"/>
    <x v="0"/>
    <x v="0"/>
    <x v="0"/>
    <s v="-1.0"/>
    <s v="NULL"/>
    <s v="Neutral"/>
    <x v="0"/>
    <x v="1"/>
    <s v="Positif"/>
  </r>
  <r>
    <x v="394"/>
    <x v="1"/>
    <x v="19"/>
    <d v="1899-12-30T07:49:00"/>
    <s v="&quot;He XL ini gimana biasanya habis ujan sinyal kembali ini 2 hari gak kembali padahal baru isi paket ini gimana sih ?!!! Tolong lah sinyal nya juga di perhatikan!!!! Selalu h+ kalo ga ya hilang sinyalnya Biasanya lancar jaya ini kayak siput Kenapa sih XL ??&quot;"/>
    <x v="0"/>
    <x v="0"/>
    <x v="0"/>
    <s v="-1.0"/>
    <s v="NULL"/>
    <s v="Neutral"/>
    <x v="0"/>
    <x v="1"/>
    <s v="Positif"/>
  </r>
  <r>
    <x v="395"/>
    <x v="1"/>
    <x v="19"/>
    <d v="1899-12-30T05:41:00"/>
    <s v="&quot;Jangan pernah percaya dengan myXL, ini aplikasi penipuan, jangan pernah terkecoh oleh SMS yg menggiurkan dari my XL itu semua penipuan, pembohongan,&quot;"/>
    <x v="0"/>
    <x v="0"/>
    <x v="0"/>
    <s v="-1.0"/>
    <s v="NULL"/>
    <s v="Neutral"/>
    <x v="0"/>
    <x v="1"/>
    <s v="Positif"/>
  </r>
  <r>
    <x v="396"/>
    <x v="1"/>
    <x v="19"/>
    <d v="1899-12-30T23:50:00"/>
    <s v="&quot;Kenapa yg xl bohong Saya lihat ada paket xtra combo 20 gb harga 54 ribu, tapi kenapa pas diklik beli ko jadi rp 83000, aku nyesal udah beli pulsa xl penipu&quot;"/>
    <x v="0"/>
    <x v="0"/>
    <x v="0"/>
    <s v="-1.0"/>
    <s v="NULL"/>
    <s v="Neutral"/>
    <x v="0"/>
    <x v="1"/>
    <s v="Positif"/>
  </r>
  <r>
    <x v="397"/>
    <x v="2"/>
    <x v="19"/>
    <d v="1899-12-30T23:04:00"/>
    <s v="&quot;udah bagus,tingkatkan terus kwalitasnya,dan kedepanya semoga ada pilihan masa aktif s/d 10 hari,karena sangat membantu untuk para pengguna kelas bawah,thanks XL,goodÃ°Å¸â€˜ÂÃ°Å¸â€˜ÂÃ°Å¸â€˜Â&quot;"/>
    <x v="2"/>
    <x v="2"/>
    <x v="2"/>
    <s v="1.0"/>
    <s v="NULL"/>
    <s v="Neutral"/>
    <x v="0"/>
    <x v="1"/>
    <s v="Positif"/>
  </r>
  <r>
    <x v="398"/>
    <x v="3"/>
    <x v="19"/>
    <d v="1899-12-30T20:03:00"/>
    <s v="&quot;Bismillah Assalamualaikum warahmatullahi wabarakatu Saya kurang suka dengan kinerja my XL karena memotong pulsa dan perpanjangan paket tanpa pemberitahuan terlebih dahulu dan saya sangat kecewa lantaran pulsa saya terpotong padahal masih ada paket XL lainnya yg saya gunakan&quot;"/>
    <x v="0"/>
    <x v="0"/>
    <x v="0"/>
    <s v="-1.0"/>
    <s v="NULL"/>
    <s v="Neutral"/>
    <x v="0"/>
    <x v="1"/>
    <s v="Positif"/>
  </r>
  <r>
    <x v="399"/>
    <x v="0"/>
    <x v="19"/>
    <d v="1899-12-30T01:17:00"/>
    <s v="&quot;Knapa beberapa hari terakhir ini jaringan XL hilang hilang. Khususnya di daerah Sulawesi Tenggara, Kabupaten Konawe Selatan, tolong infonya.?!!! Ã°Å¸â„¢ÂÃ°Å¸â„¢ÂÃ°Å¸â„¢Â&quot;"/>
    <x v="0"/>
    <x v="0"/>
    <x v="0"/>
    <s v="-1.0"/>
    <s v="NULL"/>
    <s v="Neutral"/>
    <x v="0"/>
    <x v="1"/>
    <s v="Positif"/>
  </r>
  <r>
    <x v="400"/>
    <x v="1"/>
    <x v="19"/>
    <d v="1899-12-30T01:03:00"/>
    <s v="&quot;Gua dpet bonus kuota krna beli pulsa, nahhh.. gua coba ambil tu bonusnya, akhirnya bisa.. tp ada syaratnya. Kuota bisa aktif jika punya kuota utama yg aktif.. ngapain gua ambil bonusnya klo punya kuota utama... Hadehh.. anehÃ‚Â² aja . Skalian aja syaratnya gini, bonus kuota akan aktif jika anda membelinya..Ã°Å¸Â¤Â¦Ã°Å¸ÂÂ»Ã¢â‚¬ÂÃ¢â„¢â€šÃ¯Â¸ÂÃ°Å¸Â¤Â¦Ã°Å¸ÂÂ»Ã¢â‚¬ÂÃ¢â„¢â€šÃ¯Â¸ÂÃ°Å¸Â¤Â¦Ã°Å¸ÂÂ»Ã¢â‚¬ÂÃ¢â„¢â€šÃ¯Â¸ÂÃ°Å¸Â¤Â¦Ã°Å¸ÂÂ»Ã¢â‚¬ÂÃ¢â„¢â€šÃ¯Â¸ÂÃ°Å¸Ëœâ€šÃ°Å¸Ëœâ€šÃ°Å¸Ëœâ€šÃ°Å¸Ëœâ€š&quot;"/>
    <x v="1"/>
    <x v="1"/>
    <x v="1"/>
    <s v="0.0"/>
    <s v="NULL"/>
    <s v="Positive"/>
    <x v="1"/>
    <x v="2"/>
    <s v="Netral"/>
  </r>
  <r>
    <x v="401"/>
    <x v="3"/>
    <x v="19"/>
    <d v="1899-12-30T17:16:00"/>
    <s v="&quot;Mohon lah sinyal di benerin, jam malam pun sinyal masih lelet parah, padahal dulu itu sinyal full terus lancar, eh udah rame yg pakek malah lemot&quot;"/>
    <x v="0"/>
    <x v="0"/>
    <x v="0"/>
    <s v="-1.0"/>
    <s v="NULL"/>
    <s v="Neutral"/>
    <x v="0"/>
    <x v="1"/>
    <s v="Positif"/>
  </r>
  <r>
    <x v="402"/>
    <x v="1"/>
    <x v="19"/>
    <d v="1899-12-30T16:07:00"/>
    <s v="&quot;Sayang sekali untuk paket VIP rollover nya tidak berlaku saat mengaktifkan paket sejenis dengan jumlah kuota berbeda sehingga kuota sebelumnya yang masih satu jenis hangus semuanya. Sebenarnya oke promonya tetapi perpanjangan dikenakan tarif normal yang sangat diluar dugaan. Sehingga experience menggunakan xtra combo vip saat promo tak ada bedanya sama xtra combo biasa yang memang akumulasi nya max 1 GB, sehingga terkesan hanya membuang-buang data yang bisa sampai 24 GB sisanya dan tak bersisa&quot;"/>
    <x v="0"/>
    <x v="0"/>
    <x v="0"/>
    <s v="-1.0"/>
    <s v="NULL"/>
    <s v="Positive"/>
    <x v="0"/>
    <x v="2"/>
    <s v="Positif"/>
  </r>
  <r>
    <x v="403"/>
    <x v="3"/>
    <x v="19"/>
    <d v="1899-12-30T13:31:00"/>
    <s v="&quot;Saya kasih bintang 2,, simcard XL saya tidak saya aktifkan,,tapi selalu isi pulsa,,buat beli masa aktif..tapi pas buka di myXL pulsa saya tinggal 600 perak, padahal gk saya aktifkn .parah..Xl pencuri pulsa.&quot;"/>
    <x v="0"/>
    <x v="0"/>
    <x v="0"/>
    <s v="-1.0"/>
    <s v="NULL"/>
    <s v="Neutral"/>
    <x v="0"/>
    <x v="1"/>
    <s v="Positif"/>
  </r>
  <r>
    <x v="404"/>
    <x v="1"/>
    <x v="19"/>
    <d v="1899-12-30T13:29:00"/>
    <s v="&quot;Hai xl yang terhormat knapa kartu xl saya tidak ada suara pas nlpn, padahal volume nya full, udah dua hari kayak gini, gangguan atau knapa..?&quot;"/>
    <x v="1"/>
    <x v="1"/>
    <x v="1"/>
    <s v="0.0"/>
    <s v="NULL"/>
    <s v="Neutral"/>
    <x v="1"/>
    <x v="1"/>
    <s v="Netral"/>
  </r>
  <r>
    <x v="405"/>
    <x v="0"/>
    <x v="19"/>
    <d v="1899-12-30T12:15:00"/>
    <s v="&quot;Memudahkan &quot;"/>
    <x v="3"/>
    <x v="3"/>
    <x v="3"/>
    <s v="NULL"/>
    <s v="NULL"/>
    <s v="Neutral"/>
    <x v="1"/>
    <x v="1"/>
    <s v="Netral"/>
  </r>
  <r>
    <x v="406"/>
    <x v="2"/>
    <x v="19"/>
    <d v="1899-12-30T10:39:00"/>
    <s v="&quot;sangat puas berlangganan menggunakan XL, dari dulu memang sudah pakai XL, tapi masalah jaringan ny saja, kadang hilang sendiri.&quot;"/>
    <x v="2"/>
    <x v="2"/>
    <x v="2"/>
    <s v="1.0"/>
    <s v="NULL"/>
    <s v="Neutral"/>
    <x v="0"/>
    <x v="1"/>
    <s v="Positif"/>
  </r>
  <r>
    <x v="407"/>
    <x v="2"/>
    <x v="19"/>
    <d v="1899-12-30T00:50:00"/>
    <s v="&quot;Hari ini saya kecewa saya sudah isi paket gojeg yang 20gb 75ribu tapi tiba-sinyal ilang sama internetnya mati...halo xl tolong di perbaiki jangan bikin kami kecewa..karena kami tidak bisa kerja.terimakasih&quot;"/>
    <x v="0"/>
    <x v="0"/>
    <x v="0"/>
    <s v="-1.0"/>
    <s v="NULL"/>
    <s v="Neutral"/>
    <x v="0"/>
    <x v="1"/>
    <s v="Positif"/>
  </r>
  <r>
    <x v="408"/>
    <x v="1"/>
    <x v="20"/>
    <d v="1899-12-30T07:37:00"/>
    <s v="&quot;Kecewa Ã°Å¸ËœÂ¡ awalnya speed normal gak lemot gak cepet... tapi sekarang sinyal 1 batang &amp; speed dibawah 30KB/s itupun di rumah sendiri... Rev: sudah mulai stabil, tetapi masih lost connection beberapa kali 2nd Rev: I take back my word! How's that possible, kuota masih ada 2/3gb limiternya masa udh aktif sih! Waduuh... It's time to move to the yellow one for a while...&quot;"/>
    <x v="0"/>
    <x v="0"/>
    <x v="0"/>
    <s v="-1.0"/>
    <s v="NULL"/>
    <s v="Negative"/>
    <x v="0"/>
    <x v="0"/>
    <s v="Positif"/>
  </r>
  <r>
    <x v="409"/>
    <x v="4"/>
    <x v="20"/>
    <d v="1899-12-30T06:49:00"/>
    <s v="&quot;tidak bisa masuk apk kalau tidak ada kuota,harusnya bisa,supaya kalau pas kehabisan kuota terus mau isi ulang lewat apk jadi lebih mudah.&quot;"/>
    <x v="0"/>
    <x v="0"/>
    <x v="0"/>
    <s v="-1.0"/>
    <s v="NULL"/>
    <s v="Neutral"/>
    <x v="0"/>
    <x v="1"/>
    <s v="Positif"/>
  </r>
  <r>
    <x v="410"/>
    <x v="1"/>
    <x v="20"/>
    <d v="1899-12-30T04:08:00"/>
    <s v="&quot;Smua ulasan sama keluhannya,makin kesini makin lemooooooooooootttttt,kadang tibaÃ‚Â² ga konek,dan yg sering saya alami,paket data saya sim 1 tpi sll ada notif di sim 2 bilangnya anda sedang menikmati internet blabla..,lah habis itu pulsa ludes tak tersisa,,,saya pake data sim 1 boss napa pulsa di sim 2 di ludesin juga,,,&quot;"/>
    <x v="0"/>
    <x v="0"/>
    <x v="0"/>
    <s v="-1.0"/>
    <s v="NULL"/>
    <s v="Neutral"/>
    <x v="0"/>
    <x v="1"/>
    <s v="Positif"/>
  </r>
  <r>
    <x v="411"/>
    <x v="1"/>
    <x v="20"/>
    <d v="1899-12-30T20:09:00"/>
    <s v="&quot;Update versi apk baru bukan nya. Makin lancar malah lemot, not responding. Aplikasi bukannya membantu malah mengganggu. Paket mingguan dan bulanan sudah overprice (dibanding kompetitor),,dengan kualitas 4G yg gak stabil, sinyal 4G serasa 3G. Cukup bintang 1 aja reputasimu my xl&quot;"/>
    <x v="0"/>
    <x v="0"/>
    <x v="0"/>
    <s v="-1.0"/>
    <s v="NULL"/>
    <s v="Neutral"/>
    <x v="0"/>
    <x v="1"/>
    <s v="Positif"/>
  </r>
  <r>
    <x v="412"/>
    <x v="1"/>
    <x v="20"/>
    <d v="1899-12-30T18:13:00"/>
    <s v="&quot;Makin hari makin mahal, tapi internet ilang&quot;an terus, kalo begini mah nyesel langganan XL, mending ganti kartu baru aja dah&quot;"/>
    <x v="0"/>
    <x v="0"/>
    <x v="0"/>
    <s v="-1.0"/>
    <s v="NULL"/>
    <s v="Neutral"/>
    <x v="0"/>
    <x v="1"/>
    <s v="Positif"/>
  </r>
  <r>
    <x v="413"/>
    <x v="2"/>
    <x v="20"/>
    <d v="1899-12-30T14:17:00"/>
    <s v="&quot;Paket lumayan murah, hanya aja jaringannya yg kurang kuat, harus di perluas aja jaringannya, biar sinyalnya merata dan kuat&quot;"/>
    <x v="2"/>
    <x v="2"/>
    <x v="2"/>
    <s v="1.0"/>
    <s v="NULL"/>
    <s v="Neutral"/>
    <x v="0"/>
    <x v="1"/>
    <s v="Positif"/>
  </r>
  <r>
    <x v="414"/>
    <x v="2"/>
    <x v="20"/>
    <d v="1899-12-30T12:35:00"/>
    <s v="&quot;pertama kali pke aplikasi ini, dan baru coba buat beli paket..semoga tdk ada kendala. kalo ada kendala dan tdk bisa terselesaikan dgn baik, sya turunkan bintangnya. tapi alhamdulillah percobaan pertama berhasil&quot;"/>
    <x v="2"/>
    <x v="2"/>
    <x v="2"/>
    <s v="1.0"/>
    <s v="NULL"/>
    <s v="Neutral"/>
    <x v="0"/>
    <x v="1"/>
    <s v="Positif"/>
  </r>
  <r>
    <x v="415"/>
    <x v="3"/>
    <x v="20"/>
    <d v="1899-12-30T12:23:00"/>
    <s v="&quot;Perbaiki lagi jaaringan nya, tiap hari ngelek terus untuk area pontianak dan sekitar nya. Jangan cuma sms promo mulu dtingkatkan. Kualitas jaringan nya aja dperluas dan dperkuat. Skian&quot;"/>
    <x v="0"/>
    <x v="0"/>
    <x v="0"/>
    <s v="-1.0"/>
    <s v="NULL"/>
    <s v="Neutral"/>
    <x v="0"/>
    <x v="1"/>
    <s v="Positif"/>
  </r>
  <r>
    <x v="416"/>
    <x v="1"/>
    <x v="20"/>
    <d v="1899-12-30T12:11:00"/>
    <s v="&quot;Tolong lah kepada admin XL, di perbaiki dong sinyal nya kualitas sinyal sangat buruk padahal Agustus lalu masih bagus banget kenapa sekarang makin jelek sinyalnya.&quot;"/>
    <x v="0"/>
    <x v="0"/>
    <x v="0"/>
    <s v="-1.0"/>
    <s v="NULL"/>
    <s v="Neutral"/>
    <x v="0"/>
    <x v="1"/>
    <s v="Positif"/>
  </r>
  <r>
    <x v="417"/>
    <x v="1"/>
    <x v="20"/>
    <d v="1899-12-30T11:47:00"/>
    <s v="&quot;Nomor saya tidak sengaja diisi kuota double (2 kali dalam sehari), izin bertanya kenapa kuota saya tidak diakumulasi jadi 60 gb (masing-masing kuota 30gb) ?&quot;"/>
    <x v="0"/>
    <x v="0"/>
    <x v="0"/>
    <s v="-1.0"/>
    <s v="NULL"/>
    <s v="Neutral"/>
    <x v="0"/>
    <x v="1"/>
    <s v="Positif"/>
  </r>
  <r>
    <x v="418"/>
    <x v="3"/>
    <x v="21"/>
    <d v="1899-12-30T08:59:00"/>
    <s v="&quot;Saya ada kendala saya beli pulsa di warung nah kan udah bener saya bacain nomor saya pas saya cek kan bcaan notifikasi untuk cek pulsa *123# tapi liat liat pulsa endk ada padahal udah masuk biasa kaya gitu wah endk bener sih xl padahal sya isi 25.000&quot;"/>
    <x v="0"/>
    <x v="0"/>
    <x v="0"/>
    <s v="-1.0"/>
    <s v="NULL"/>
    <s v="Negative"/>
    <x v="0"/>
    <x v="0"/>
    <s v="Positif"/>
  </r>
  <r>
    <x v="419"/>
    <x v="1"/>
    <x v="21"/>
    <d v="1899-12-30T07:23:00"/>
    <s v="&quot;Mohon jaringan XL nya di tingkatkan lagi ya, lebih dari seminggu ini jaringan XL tiba2 lag malah kadang 1 bar pun gada jaringan hanya H aja. Wilayah Sumut, kab Karo kec Barusjahe !&quot;"/>
    <x v="0"/>
    <x v="0"/>
    <x v="0"/>
    <s v="-1.0"/>
    <s v="NULL"/>
    <s v="Negative"/>
    <x v="0"/>
    <x v="0"/>
    <s v="Positif"/>
  </r>
  <r>
    <x v="420"/>
    <x v="1"/>
    <x v="21"/>
    <d v="1899-12-30T04:48:00"/>
    <s v="&quot;kenapa yah my xl makin kesini makin sering keluar sendiri aneh aku,terus sinyalnya juga suka ilang sendiri,padahal di tempatku suport dengan kartu xl&quot;"/>
    <x v="0"/>
    <x v="0"/>
    <x v="0"/>
    <s v="-1.0"/>
    <s v="NULL"/>
    <s v="Neutral"/>
    <x v="0"/>
    <x v="1"/>
    <s v="Positif"/>
  </r>
  <r>
    <x v="421"/>
    <x v="2"/>
    <x v="21"/>
    <d v="1899-12-30T03:40:00"/>
    <s v="&quot;Bagus kok jaringan XL didaerah ku, makanya suka, cuma kmrin pas beli Kouta lama masuknya, untung aja ditungguin masuk.. di my XL Kouta nya murah2 jadi seneng wkwk, cuma khusus area si, klau kluar daerah ga tau juga sama atau ga nya,, cuma sering log out sendiri itu kenapa ya?&quot;"/>
    <x v="2"/>
    <x v="2"/>
    <x v="2"/>
    <s v="1.0"/>
    <s v="NULL"/>
    <s v="Neutral"/>
    <x v="0"/>
    <x v="1"/>
    <s v="Positif"/>
  </r>
  <r>
    <x v="422"/>
    <x v="0"/>
    <x v="21"/>
    <d v="1899-12-30T01:55:00"/>
    <s v="&quot;Alhamdulillah sudah ada peningkatan,sinyal sudah tercakup semua dan lumayan kenceng untuk download film, tapi murahin lagi paket nya kalo bisa, Ã°Å¸ËœÂ&quot;"/>
    <x v="2"/>
    <x v="2"/>
    <x v="2"/>
    <s v="1.0"/>
    <s v="NULL"/>
    <s v="Neutral"/>
    <x v="0"/>
    <x v="1"/>
    <s v="Positif"/>
  </r>
  <r>
    <x v="423"/>
    <x v="3"/>
    <x v="21"/>
    <d v="1899-12-30T19:37:00"/>
    <s v="&quot;Saya mau komplain. Saya beli paket 70GB udah kepake 2.5GB alhamdulillah lancar. Tapi ini kenapa bisa lemot gini ya. Buka chrome gak bisa buka yang lain juga gak bisa. Udah 2 bulan XL begini terus, bulan kmaren juga gitu. Saya beli paket data yg beda, setelah tinggal 10GB lemot. Lemot nya itu pas saya ada dirumah aja. Tapi diluar rumah engga, padahal awal saya beli kalo saya dirumah lancar lancar aja. Tapi setelah paket data terpakai beberapa GB tibatiba lemot lagi ???????? Kenapa ?????&quot;"/>
    <x v="0"/>
    <x v="0"/>
    <x v="0"/>
    <s v="-1.0"/>
    <s v="NULL"/>
    <s v="Neutral"/>
    <x v="0"/>
    <x v="1"/>
    <s v="Positif"/>
  </r>
  <r>
    <x v="424"/>
    <x v="1"/>
    <x v="21"/>
    <d v="1899-12-30T18:06:00"/>
    <s v="&quot;Saya beli paket data dengan pembayaran menggunakan shoppy pay, tadi di aplikasi shoppy pay sudah terselesaikan pembayaran nya tpi di aplikasi my XL masih menunggu pembayaran, dan alhasil paket data pun belum masuk&quot;"/>
    <x v="0"/>
    <x v="0"/>
    <x v="0"/>
    <s v="-1.0"/>
    <s v="NULL"/>
    <s v="Negative"/>
    <x v="0"/>
    <x v="0"/>
    <s v="Positif"/>
  </r>
  <r>
    <x v="425"/>
    <x v="1"/>
    <x v="21"/>
    <d v="1899-12-30T14:53:00"/>
    <s v="&quot;XL dan Axis jaringan gak guna, jelek dan sangat lambat. Tolong di percepat lagi jaringan nya, ntar bangkrut gara&quot; jaringan gak stabil terus&quot;"/>
    <x v="0"/>
    <x v="0"/>
    <x v="0"/>
    <s v="-1.0"/>
    <s v="NULL"/>
    <s v="Neutral"/>
    <x v="0"/>
    <x v="1"/>
    <s v="Positif"/>
  </r>
  <r>
    <x v="426"/>
    <x v="3"/>
    <x v="21"/>
    <d v="1899-12-30T13:42:00"/>
    <s v="&quot;Tlong lah diperbaiki signal 4G nya,ya tuhan,uda smgguan ,mendung dikit signal h+ ,,,,,mau buka apk apa atau bales email pun susah,,,,, Dr dlu xL kyk gini,mendung dikit signal jelek,apalgi hujan,&quot;"/>
    <x v="0"/>
    <x v="0"/>
    <x v="0"/>
    <s v="-1.0"/>
    <s v="NULL"/>
    <s v="Neutral"/>
    <x v="0"/>
    <x v="1"/>
    <s v="Positif"/>
  </r>
  <r>
    <x v="427"/>
    <x v="1"/>
    <x v="21"/>
    <d v="1899-12-30T12:07:00"/>
    <s v="&quot;Tolong kepada pihak XL tolong untuk sinyal di bener kan karena saya sebagai pengguna xl sangat kecewa karena saya mengirim pesan wa aja tidak bisa bagaimana mau main game. Tolong di betulkan sinyal XLnya, dan Mohon di bawa&quot;"/>
    <x v="0"/>
    <x v="0"/>
    <x v="0"/>
    <s v="-1.0"/>
    <s v="NULL"/>
    <s v="Neutral"/>
    <x v="0"/>
    <x v="1"/>
    <s v="Positif"/>
  </r>
  <r>
    <x v="428"/>
    <x v="2"/>
    <x v="21"/>
    <d v="1899-12-30T12:06:00"/>
    <s v="&quot;Program produk paket internet XL sesuai kebutuhan saya beserta anak- anak saya , terutama sinyal kuat di Kecamatan Pakualaman Yogyakarta , tempat tinggal kami , terimakasih XL , smg tetap extra selalu .&quot;"/>
    <x v="2"/>
    <x v="2"/>
    <x v="2"/>
    <s v="1.0"/>
    <s v="NULL"/>
    <s v="Neutral"/>
    <x v="0"/>
    <x v="1"/>
    <s v="Positif"/>
  </r>
  <r>
    <x v="429"/>
    <x v="2"/>
    <x v="21"/>
    <d v="1899-12-30T12:01:00"/>
    <s v="&quot;myXL memang beda dari yang lain!!!!!!!!!Ã‚Â¡!!!!!!!!!!!!!!!!!!!Ã‚Â¡!!!!!!!!!!!!!!!!!!!!!!!!!!!!!!!!!!!!!!!!!!!!!!!!!&quot;"/>
    <x v="1"/>
    <x v="1"/>
    <x v="1"/>
    <s v="0.0"/>
    <s v="NULL"/>
    <s v="Neutral"/>
    <x v="1"/>
    <x v="1"/>
    <s v="Netral"/>
  </r>
  <r>
    <x v="430"/>
    <x v="4"/>
    <x v="21"/>
    <d v="1899-12-30T00:22:00"/>
    <s v="&quot;Alhamdulillah no lama yg masih 2G sekarang sudah aktif dan mencoba petualangan baru di XL prioritas dengan 4,5G,semoga tidak lemot dan masih bertahan dg XL axiata TAPI KENAPA INTERNET NYA LOADING DAN KADANG SINYAL SUKA HILANG,MOHON PENCERAHANYA&quot;"/>
    <x v="0"/>
    <x v="0"/>
    <x v="0"/>
    <s v="-1.0"/>
    <s v="NULL"/>
    <s v="Negative"/>
    <x v="0"/>
    <x v="0"/>
    <s v="Positif"/>
  </r>
  <r>
    <x v="431"/>
    <x v="3"/>
    <x v="21"/>
    <d v="1899-12-30T00:19:00"/>
    <s v="&quot;Aplikasi yg sering menyebalkan... katanya klw begini begitu dapat bonus, sy sering sdah melakukan sesuai info, eh ...! Bonus tk dapat2, yg ada paket data masih 1GB/2GB tp ternyata ga bsa di pake, ga tahu pa sebabnya&quot;"/>
    <x v="0"/>
    <x v="0"/>
    <x v="0"/>
    <s v="-1.0"/>
    <s v="NULL"/>
    <s v="Positive"/>
    <x v="0"/>
    <x v="2"/>
    <s v="Positif"/>
  </r>
  <r>
    <x v="432"/>
    <x v="1"/>
    <x v="22"/>
    <d v="1899-12-30T04:11:00"/>
    <s v="&quot;Menyedihkan banget cs nya gajelas berhenti disusahin. Sinyal nya ampun dah ditanya rincian tagihan malah keluar. Nyesel banget langganan xl prioritas pokony jangan. Udah tagihan ga jelas padahal jarang make kalo make sinyak lemah kali komplain ke cs ga guna berhenti disulitkan. Tanya rincian tagihan aja bisa bisa nya langsung selesain pembicaraan. Penipu kah?&quot;"/>
    <x v="0"/>
    <x v="0"/>
    <x v="0"/>
    <s v="-1.0"/>
    <s v="NULL"/>
    <s v="Neutral"/>
    <x v="0"/>
    <x v="1"/>
    <s v="Positif"/>
  </r>
  <r>
    <x v="433"/>
    <x v="4"/>
    <x v="22"/>
    <d v="1899-12-30T02:08:00"/>
    <s v="&quot;Maaf Sebelumnya, saya ingin bertanya kenapa XL sekarang udah seminggu Jaringannya mati mulai pukul jam 12 malam gituuu, bisakah ada perbaikanÃ°Å¸â„¢Â Terima kasih sebelumnya.&quot;"/>
    <x v="1"/>
    <x v="1"/>
    <x v="1"/>
    <s v="0.0"/>
    <s v="NULL"/>
    <s v="Neutral"/>
    <x v="1"/>
    <x v="1"/>
    <s v="Netral"/>
  </r>
  <r>
    <x v="434"/>
    <x v="1"/>
    <x v="22"/>
    <d v="1899-12-30T17:55:00"/>
    <s v="&quot;Ngelag parah! Aplg pas mau ambil bonus kuota scan vouchet. Suka tiba-tiba keluar sendiri. Kecewa sm xl . Tolong diperbaiki atau saya ganti kartu! Jelek bangettttttttttttt bikin emosiiiiiiiii&quot;"/>
    <x v="0"/>
    <x v="0"/>
    <x v="0"/>
    <s v="-1.0"/>
    <s v="NULL"/>
    <s v="Positive"/>
    <x v="0"/>
    <x v="2"/>
    <s v="Positif"/>
  </r>
  <r>
    <x v="435"/>
    <x v="1"/>
    <x v="22"/>
    <d v="1899-12-30T15:51:00"/>
    <s v="&quot;Jaringan xl di tempat saya jelek banget, dipaksa pakai jaringan 4G tapi jaringan 4G nya payah banget, padahal di kota cukup besar. Ã°Å¸â€˜Å½&quot;"/>
    <x v="0"/>
    <x v="0"/>
    <x v="0"/>
    <s v="-1.0"/>
    <s v="NULL"/>
    <s v="Neutral"/>
    <x v="0"/>
    <x v="1"/>
    <s v="Positif"/>
  </r>
  <r>
    <x v="436"/>
    <x v="1"/>
    <x v="22"/>
    <d v="1899-12-30T14:01:00"/>
    <s v="&quot;Xl makin kesini kok makin turun performa untuk transaksi pembelian kotanya ya aneh banget, masa ini kuota yg harga 13000an malahan motong pulsa 16000an si aneh banget, udah sering banget kaya gini,&quot;"/>
    <x v="0"/>
    <x v="0"/>
    <x v="0"/>
    <s v="-1.0"/>
    <s v="NULL"/>
    <s v="Neutral"/>
    <x v="0"/>
    <x v="1"/>
    <s v="Positif"/>
  </r>
  <r>
    <x v="437"/>
    <x v="1"/>
    <x v="22"/>
    <d v="1899-12-30T13:34:00"/>
    <s v="&quot;Xl makin parah,,, pekerjaan jadi terhambat karena sinyal sering hilang, padahal sebelumnya baik-baik saja, ayolah xl... masa iya dibiarkan saja jaringannya bermasalah, bisa-bisa pindah ke tetangga sebelah pelanggannya.&quot;"/>
    <x v="0"/>
    <x v="0"/>
    <x v="0"/>
    <s v="-1.0"/>
    <s v="NULL"/>
    <s v="Neutral"/>
    <x v="0"/>
    <x v="1"/>
    <s v="Positif"/>
  </r>
  <r>
    <x v="438"/>
    <x v="1"/>
    <x v="22"/>
    <d v="1899-12-30T13:22:00"/>
    <s v="&quot;Saya kecewa sih saat masuk di aplikasi myXL no yg tercantum di aplikasi bukan nomor saya sehingga saat saya mengirim pulsa dan data masuk di no orang lain,&quot;"/>
    <x v="0"/>
    <x v="0"/>
    <x v="0"/>
    <s v="-1.0"/>
    <s v="NULL"/>
    <s v="Negative"/>
    <x v="0"/>
    <x v="0"/>
    <s v="Positif"/>
  </r>
  <r>
    <x v="439"/>
    <x v="1"/>
    <x v="22"/>
    <d v="1899-12-30T13:21:00"/>
    <s v="&quot;Ribet, uda kehabisan kuota bli gesekan biar mudah ini mala suru scan segala, ampun dah. Masalahnya saya g punya apl ini td , mungkin dl iya punya uda di hapus karna hpku lemot. Bkin emosi aja.&quot;"/>
    <x v="0"/>
    <x v="0"/>
    <x v="0"/>
    <s v="-1.0"/>
    <s v="NULL"/>
    <s v="Neutral"/>
    <x v="0"/>
    <x v="1"/>
    <s v="Positif"/>
  </r>
  <r>
    <x v="440"/>
    <x v="3"/>
    <x v="23"/>
    <d v="1899-12-30T23:53:00"/>
    <s v="&quot;Saya udah mengisi paket xtra combo dan sudah bayar lewat shopee pay. Namun tidak kunjung bertambah kuota saya dan harus rugi 100.000 untuk membeli kuota. Tolong itu dibenahi lagi soal pembayarannya&quot;"/>
    <x v="0"/>
    <x v="0"/>
    <x v="0"/>
    <s v="-1.0"/>
    <s v="NULL"/>
    <s v="Negative"/>
    <x v="0"/>
    <x v="0"/>
    <s v="Positif"/>
  </r>
  <r>
    <x v="441"/>
    <x v="4"/>
    <x v="23"/>
    <d v="1899-12-30T23:28:00"/>
    <s v="&quot;klau beli paket pakai aplikasi xl trus bayar pakai shopee pay masuk paket nya lama (loading.,,) bikin deg deg kan jantung, beda ama provider sebelah cepat tanpa loading, itu aja sih masukan nya,, semoga bs jadi masukan untuk XL kedepannya&quot;"/>
    <x v="1"/>
    <x v="1"/>
    <x v="1"/>
    <s v="0.0"/>
    <s v="NULL"/>
    <s v="Negative"/>
    <x v="1"/>
    <x v="0"/>
    <s v="Netral"/>
  </r>
  <r>
    <x v="442"/>
    <x v="2"/>
    <x v="23"/>
    <d v="1899-12-30T23:06:00"/>
    <s v="&quot;Yang membuat saya memilih XL karena adanya bonus pilihan unlimited, sayangnya setiap sehari sebelum habis masa aktif kuota sudah tidak bisa dipergunakan. Semoga bisa dipertahankan dan lebih ditingkatkan layanan signalnya agar kami konsumen tetap setia memilih XL. Terima kasih.&quot;"/>
    <x v="2"/>
    <x v="2"/>
    <x v="2"/>
    <s v="1.0"/>
    <s v="NULL"/>
    <s v="Positive"/>
    <x v="0"/>
    <x v="2"/>
    <s v="Positif"/>
  </r>
  <r>
    <x v="443"/>
    <x v="4"/>
    <x v="23"/>
    <d v="1899-12-30T22:36:00"/>
    <s v="&quot;maaf saya kasih bintang 3 dulu, soalnya udah seminggu saya kesusahan buat ngambil paket unlimited saya, setiap sudah mau beli selalu forclosed serasa hp saya gak kuat buat pakai aplikasi myXL ini, padahal ram hp saya 4GB, mohon di perbaiki lagi masalahnya,Terima Kasih.&quot;"/>
    <x v="0"/>
    <x v="0"/>
    <x v="0"/>
    <s v="-1.0"/>
    <s v="NULL"/>
    <s v="Neutral"/>
    <x v="0"/>
    <x v="1"/>
    <s v="Positif"/>
  </r>
  <r>
    <x v="444"/>
    <x v="2"/>
    <x v="23"/>
    <d v="1899-12-30T20:14:00"/>
    <s v="&quot;Masukan buat myXL : Kedepannya tolong tambahkan fitur perbaikan/peningkatan layanan (lokasi), sehingga jika disuatu daerah yg sedang mengalami hal tersebut kita dengan mudah mengakses infonya. Misal: di daerah A sedang terjadi peningkatan layanan yang mengakibatkan terjadinya gangguan sinyal/internet, kemudian dengan fitur ini kita bisa cari info lokasi daerah A itu, dan diterangkan bahwa sedang ada peningkatan layanan dan berapa lamanya, sehingga sbg pelanggan kita bisa memakluminya. Thanks :)&quot;"/>
    <x v="2"/>
    <x v="2"/>
    <x v="2"/>
    <s v="1.0"/>
    <s v="NULL"/>
    <s v="Positive"/>
    <x v="0"/>
    <x v="2"/>
    <s v="Positif"/>
  </r>
  <r>
    <x v="445"/>
    <x v="1"/>
    <x v="23"/>
    <d v="1899-12-30T17:54:00"/>
    <s v="&quot;Kenapa saya,mau aktvin kuota unlimited saya setelah kuota utama habis,selalu coba lagi dan coba lagi,klo sampe hangus kecewa banget sih&quot;"/>
    <x v="0"/>
    <x v="0"/>
    <x v="0"/>
    <s v="-1.0"/>
    <s v="NULL"/>
    <s v="Neutral"/>
    <x v="0"/>
    <x v="1"/>
    <s v="Positif"/>
  </r>
  <r>
    <x v="446"/>
    <x v="1"/>
    <x v="23"/>
    <d v="1899-12-30T17:32:00"/>
    <s v="&quot;Saya pengguna xl lumayan lama sangat kecewa. Kenapa gagal memuat data terus sih padahal udah di update aplikasinya hp juga uda di restart kenapa masih gagal terus&quot;"/>
    <x v="0"/>
    <x v="0"/>
    <x v="0"/>
    <s v="-1.0"/>
    <s v="NULL"/>
    <s v="Neutral"/>
    <x v="0"/>
    <x v="1"/>
    <s v="Positif"/>
  </r>
  <r>
    <x v="447"/>
    <x v="0"/>
    <x v="23"/>
    <d v="1899-12-30T17:08:00"/>
    <s v="&quot;Admin... ini udah beberapa kalinya tagihan selalu saya bayar tapi kenapa data paket saya masih 0 KB ya ? Ini udah 4 hari disitu tertera 2 hari kuota akan diriset ulang terus ini gimana penyelesaiannya ?&quot;"/>
    <x v="1"/>
    <x v="1"/>
    <x v="1"/>
    <s v="0.0"/>
    <s v="NULL"/>
    <s v="Neutral"/>
    <x v="1"/>
    <x v="1"/>
    <s v="Netral"/>
  </r>
  <r>
    <x v="448"/>
    <x v="3"/>
    <x v="23"/>
    <d v="1899-12-30T15:03:00"/>
    <s v="&quot;Sebenarnya XL sinyalnya bagus di daerah pinggiran kota kediri tapi sangat di sayangkan XL suka memajukan masa aktif harusnya 1 bulan penuh malah di majukan 1 hari setiap isi paket internet otomotis ke potong terus setiap bulannya XL makin parah suka korupsi waktu&quot;"/>
    <x v="1"/>
    <x v="1"/>
    <x v="1"/>
    <s v="0.0"/>
    <s v="NULL"/>
    <s v="Neutral"/>
    <x v="1"/>
    <x v="1"/>
    <s v="Netral"/>
  </r>
  <r>
    <x v="449"/>
    <x v="1"/>
    <x v="23"/>
    <d v="1899-12-30T10:16:00"/>
    <s v="&quot;Saya beli internet lewat apk ini dan tidak masuk, saya bayar lewat master card dan sudah dipotong. Tolong ditindak lanjuti.&quot;"/>
    <x v="0"/>
    <x v="0"/>
    <x v="0"/>
    <s v="-1.0"/>
    <s v="NULL"/>
    <s v="Neutral"/>
    <x v="0"/>
    <x v="1"/>
    <s v="Positif"/>
  </r>
  <r>
    <x v="450"/>
    <x v="2"/>
    <x v="24"/>
    <d v="1899-12-30T01:28:00"/>
    <s v="&quot;Saya tadi mendapat masalah dalam menggunakan aplikasi myxl, namun setelah ada beberapa arahan dari Maya dan agent xl... Aplikasi sekarang sudah berjalan normal. Terimakasih&quot;"/>
    <x v="2"/>
    <x v="2"/>
    <x v="2"/>
    <s v="1.0"/>
    <s v="NULL"/>
    <s v="Neutral"/>
    <x v="0"/>
    <x v="1"/>
    <s v="Positif"/>
  </r>
  <r>
    <x v="451"/>
    <x v="1"/>
    <x v="24"/>
    <d v="1899-12-30T14:04:00"/>
    <s v="&quot;betul betul ya XL, tgl 6 januari isi pulsa terus masih ada sisanya 31rb terus ini pulsanya gakada lg ini dah yg ke2 kalinya begini. mana harga paketnya mahal lg sebulan:(&quot;"/>
    <x v="0"/>
    <x v="0"/>
    <x v="0"/>
    <s v="-1.0"/>
    <s v="NULL"/>
    <s v="Neutral"/>
    <x v="0"/>
    <x v="1"/>
    <s v="Positif"/>
  </r>
  <r>
    <x v="452"/>
    <x v="2"/>
    <x v="24"/>
    <d v="1899-12-30T13:37:00"/>
    <s v="&quot;Aplikasinya memuaskan , tapi ada satu keluhan dari saya , tolong ya pihak XL axiata tolong banget perbagus jaringan/sinyal XL nya terutama di Karawang , dan harapan saya semoga XL semakin kedepan semakin bagus dan jaya ......&quot;"/>
    <x v="2"/>
    <x v="2"/>
    <x v="2"/>
    <s v="1.0"/>
    <s v="NULL"/>
    <s v="Neutral"/>
    <x v="0"/>
    <x v="1"/>
    <s v="Positif"/>
  </r>
  <r>
    <x v="453"/>
    <x v="4"/>
    <x v="24"/>
    <d v="1899-12-30T12:35:00"/>
    <s v="&quot;XL sudah bagus banget loh sinyalnya dipedesaan. Tapi kok sekarang sering trouble di daerah pedesaan. Tolong diperbaiki lagi sinyal di daerah pedesaan Trims&quot;"/>
    <x v="1"/>
    <x v="1"/>
    <x v="1"/>
    <s v="0.0"/>
    <s v="NULL"/>
    <s v="Negative"/>
    <x v="1"/>
    <x v="0"/>
    <s v="Netral"/>
  </r>
  <r>
    <x v="454"/>
    <x v="2"/>
    <x v="24"/>
    <d v="1899-12-30T11:48:00"/>
    <s v="&quot;xl internet bgus jrigan tlp seluler jga ok.. tpi tolong buat menu apk . xl nya di perbagus lagi .. karna stiap masuk menu apk xl .. sllu susah .. kluar terus harus smpai 3x percobaan baru msuk.. buat hal lain bagus kok.. maju terus buat xl ..&quot;"/>
    <x v="2"/>
    <x v="2"/>
    <x v="2"/>
    <s v="1.0"/>
    <s v="NULL"/>
    <s v="Neutral"/>
    <x v="0"/>
    <x v="1"/>
    <s v="Positif"/>
  </r>
  <r>
    <x v="455"/>
    <x v="1"/>
    <x v="25"/>
    <d v="1899-12-30T07:34:00"/>
    <s v="&quot;Ini kenapa ya jaringan nya bagus sisa kuota masih banyak kenapa pas my xl ini di update kok jadi eror ini gak bisa di buka masih ngeloding mohon di perbaiki lagi ya min:)&quot;"/>
    <x v="0"/>
    <x v="0"/>
    <x v="0"/>
    <s v="-1.0"/>
    <s v="NULL"/>
    <s v="Neutral"/>
    <x v="0"/>
    <x v="1"/>
    <s v="Positif"/>
  </r>
  <r>
    <x v="456"/>
    <x v="3"/>
    <x v="25"/>
    <d v="1899-12-30T03:02:00"/>
    <s v="&quot;Aplikasi nya sih bagus semua paket ada,tapi sayangnya harus sering&quot; di update kan kasian kalo orang buru&quot; ga enak, semoga di perbaiki lagi&quot;"/>
    <x v="1"/>
    <x v="1"/>
    <x v="1"/>
    <s v="0.0"/>
    <s v="NULL"/>
    <s v="Neutral"/>
    <x v="1"/>
    <x v="1"/>
    <s v="Netral"/>
  </r>
  <r>
    <x v="457"/>
    <x v="1"/>
    <x v="25"/>
    <d v="1899-12-30T14:41:00"/>
    <s v="&quot;Dari semua Jaringan cuma XL yg paling Mahal tapi tidak Berkualitas, masih mending AXIS murah banyak diskon dan penawaran spesial tapi jaringannya sama lemot dg XL, jadi mending pilih yg murah aja klo sama lemotnya&quot;"/>
    <x v="0"/>
    <x v="0"/>
    <x v="0"/>
    <s v="-1.0"/>
    <s v="NULL"/>
    <s v="Neutral"/>
    <x v="0"/>
    <x v="1"/>
    <s v="Positif"/>
  </r>
  <r>
    <x v="458"/>
    <x v="1"/>
    <x v="25"/>
    <d v="1899-12-30T14:36:00"/>
    <s v="&quot;Saya beli pulsa 75 ngak masuk SMS malah di apk nya yang masuk.Terus saya beli paket 70 rb 70gb masuk di apk.tapi ngak ada SMS padahal sudah transaksi.Dan pada akhirnya saya nyalain data eh malah ngak bisa ke pake.Tapi di apk nya ada.saya hubungi CS ternyata yang di suguhkan nomor antriannya.&quot;"/>
    <x v="0"/>
    <x v="0"/>
    <x v="0"/>
    <s v="-1.0"/>
    <s v="NULL"/>
    <s v="Neutral"/>
    <x v="0"/>
    <x v="1"/>
    <s v="Positif"/>
  </r>
  <r>
    <x v="459"/>
    <x v="1"/>
    <x v="26"/>
    <d v="1899-12-30T07:29:00"/>
    <s v="&quot;Aplikasi jelek berbayar jika yang katanya grati iya gratis jidatmu mentang2 tidak punya kuota tidak bisa mengecek pulsa lewat aplikasi ini Tidak seperti aplikasi lain nya gratis Semoga pihak XL bisa memperbaiki hal sepele seperti ini&quot;"/>
    <x v="0"/>
    <x v="0"/>
    <x v="0"/>
    <s v="-1.0"/>
    <s v="NULL"/>
    <s v="Positive"/>
    <x v="0"/>
    <x v="2"/>
    <s v="Positif"/>
  </r>
  <r>
    <x v="460"/>
    <x v="1"/>
    <x v="26"/>
    <d v="1899-12-30T05:40:00"/>
    <s v="&quot;saya sengaja isi paket karna ada promo 70gb disc 75% dari *123# sebelum isi juga sudah saya lihat lagi msih ada paket nya saat saya isi pulsa 60k paket itu langsung hilang . kecewa,kesal dan kapok sama XL karna menipu pelanggan . bye&quot;"/>
    <x v="0"/>
    <x v="0"/>
    <x v="0"/>
    <s v="-1.0"/>
    <s v="NULL"/>
    <s v="Neutral"/>
    <x v="0"/>
    <x v="1"/>
    <s v="Positif"/>
  </r>
  <r>
    <x v="461"/>
    <x v="1"/>
    <x v="26"/>
    <d v="1899-12-30T03:21:00"/>
    <s v="&quot;Sumpah sekarang XL jelek bangettÃ¢â‚¬Â¦ kemarin lancar lancar aja cuman kenapa sekarang jadi jelek, dari mulai pulsa sering kesedot gajelas, gk bisa aktifin paketan sampe jaringan yang selalu ngilang padahal dulu bagus sekarang kok jadi giniÃ¢â‚¬Â¦ kalo gini trs mending ganti kartu ke yang lain aja&quot;"/>
    <x v="0"/>
    <x v="0"/>
    <x v="0"/>
    <s v="-1.0"/>
    <s v="NULL"/>
    <s v="Neutral"/>
    <x v="0"/>
    <x v="1"/>
    <s v="Positif"/>
  </r>
  <r>
    <x v="462"/>
    <x v="1"/>
    <x v="26"/>
    <d v="1899-12-30T02:12:00"/>
    <s v="&quot;Sudah terlanjur ngisi paket data, sangat sangat mengecewakan, ternyata xl sampah , gak bisa digunakan di tempatku... buang buang duit ...&quot;"/>
    <x v="0"/>
    <x v="0"/>
    <x v="0"/>
    <s v="-1.0"/>
    <s v="NULL"/>
    <s v="Neutral"/>
    <x v="0"/>
    <x v="1"/>
    <s v="Positif"/>
  </r>
  <r>
    <x v="463"/>
    <x v="1"/>
    <x v="26"/>
    <d v="1899-12-30T23:56:00"/>
    <s v="&quot;Saya beli kuota di apk ini . Dan ga ada pertanggung jawab kan atas kuota saya . Jam 5.56 pagi saya beli kuota hari ini . Dan saya udh chat agent nya atas nama maya . Dia ga mau pertanggung jawabkan ata masalah ini . Saya lagi butuh bgt kuota saya buat kerjaan . Saya malah di permainkan seperti ini ..mana etika baik nya . Saya bener Ã‚Â² kecewa bgt .&quot;"/>
    <x v="0"/>
    <x v="0"/>
    <x v="0"/>
    <s v="-1.0"/>
    <s v="NULL"/>
    <s v="Neutral"/>
    <x v="0"/>
    <x v="1"/>
    <s v="Positif"/>
  </r>
  <r>
    <x v="464"/>
    <x v="2"/>
    <x v="26"/>
    <d v="1899-12-30T23:06:00"/>
    <s v="&quot;pilihan paket nya lumayan murah cuma kalau untuk didaerah saya jawabarat khususnya garut setiap sore pasti sedikit ngeleg sinyal nya tp ga terlalu sering, semoga kedepan nya untuk masalah jaringan bisa lebih dimaksimalkan terimakasih&quot;"/>
    <x v="2"/>
    <x v="2"/>
    <x v="2"/>
    <s v="1.0"/>
    <s v="NULL"/>
    <s v="Negative"/>
    <x v="0"/>
    <x v="0"/>
    <s v="Positif"/>
  </r>
  <r>
    <x v="465"/>
    <x v="1"/>
    <x v="26"/>
    <d v="1899-12-30T01:47:00"/>
    <s v="&quot;Mohon penjelasan menu deposit untuk apa? Karna fitur tersebut membingungkan, sy pikir setelah deposit akan memotong langsunh tagihan biaya perbulan. Sy sudah deposit 300rb, dan skrg sy gak bisa pakai paket internet, dan setelah sy bayar paket melaui ibanking juga masih belum bisa di gunakan. Jd mohon penjelasan dan kejelasan Bagaimana dengan deposit yg sudah sy isi di aplikasi myXL. Jika sudah ada kejelasan bintang sy upgrade&quot;"/>
    <x v="0"/>
    <x v="0"/>
    <x v="0"/>
    <s v="-1.0"/>
    <s v="NULL"/>
    <s v="Neutral"/>
    <x v="0"/>
    <x v="1"/>
    <s v="Positif"/>
  </r>
  <r>
    <x v="466"/>
    <x v="1"/>
    <x v="26"/>
    <d v="1899-12-30T17:44:00"/>
    <s v="&quot;Rumit, mau beli kuota lewat pulsa dipersulit, harus download apk ini dulu, padahalkan blm ada kuota,alhasil pake tarif normal sampe kesedot2 dan gak bisa beli kuota yg di inginkan, ehh pas udah di download aplikasi nya tidak bisa digunakan.....! why&quot;"/>
    <x v="0"/>
    <x v="0"/>
    <x v="0"/>
    <s v="-1.0"/>
    <s v="NULL"/>
    <s v="Neutral"/>
    <x v="0"/>
    <x v="1"/>
    <s v="Positif"/>
  </r>
  <r>
    <x v="467"/>
    <x v="3"/>
    <x v="26"/>
    <d v="1899-12-30T17:21:00"/>
    <s v="&quot;Yuk bersatu pindah operator saja ganti simerah apa sihijau karna pakai siputih sinyalnya jelek banget,lemot banget dan makin tidak jelas jaringan sinyalnya !!! Banyak yang komplain bukannya diperbaiki malah kasih masukan pengaduan kekonsumen tidak bermutu dan tidak ditanggapi dengan serius sama sekali !!!!!&quot;"/>
    <x v="0"/>
    <x v="0"/>
    <x v="0"/>
    <s v="-1.0"/>
    <s v="NULL"/>
    <s v="Neutral"/>
    <x v="0"/>
    <x v="1"/>
    <s v="Positif"/>
  </r>
  <r>
    <x v="468"/>
    <x v="3"/>
    <x v="26"/>
    <d v="1899-12-30T14:50:00"/>
    <s v="&quot;Mohon segera di perbaiki jaringan internetnya, belakangan ini jaringan beberapa aplikasi susah di akses, Prioritas 4G berasa H+.. Terima Kasih&quot;"/>
    <x v="0"/>
    <x v="0"/>
    <x v="0"/>
    <s v="-1.0"/>
    <s v="NULL"/>
    <s v="Neutral"/>
    <x v="0"/>
    <x v="1"/>
    <s v="Positif"/>
  </r>
  <r>
    <x v="469"/>
    <x v="3"/>
    <x v="26"/>
    <d v="1899-12-30T14:46:00"/>
    <s v="&quot;Malam, saya ingin menghentikan langganan paket internet, tapi selalu muncul tulisan terjadi kesalahan, mohon solusinya. TerimakasihÃ°Å¸â„¢Â&quot;"/>
    <x v="1"/>
    <x v="1"/>
    <x v="1"/>
    <s v="0.0"/>
    <s v="NULL"/>
    <s v="Neutral"/>
    <x v="1"/>
    <x v="1"/>
    <s v="Netral"/>
  </r>
  <r>
    <x v="470"/>
    <x v="1"/>
    <x v="26"/>
    <d v="1899-12-30T13:52:00"/>
    <s v="&quot;Padahal sudah bayar sebelum tanggal 14, tapi tgl 15 dan tgl 16 internet nya tetap tdk bisa di pakai, akhirnya sy isi pulsa Indosat. Kapok sy pakai XL, taik&quot;"/>
    <x v="0"/>
    <x v="0"/>
    <x v="0"/>
    <s v="-1.0"/>
    <s v="NULL"/>
    <s v="Neutral"/>
    <x v="0"/>
    <x v="1"/>
    <s v="Positif"/>
  </r>
  <r>
    <x v="471"/>
    <x v="3"/>
    <x v="26"/>
    <d v="1899-12-30T13:33:00"/>
    <s v="&quot;untuk fitur lumayan...akurasi transaksi sangat buruk....tidak ada singkronisasi dari pemotongan dana dan notifikasi...rentan untuk penipuan.terimakasih sebalumnya kalau ditindak lanjuti...saya merasa dirugikan oleh aplikasi ini untuk transaksi pembelian paket .&quot;"/>
    <x v="0"/>
    <x v="0"/>
    <x v="0"/>
    <s v="-1.0"/>
    <s v="NULL"/>
    <s v="Neutral"/>
    <x v="0"/>
    <x v="1"/>
    <s v="Positif"/>
  </r>
  <r>
    <x v="472"/>
    <x v="1"/>
    <x v="26"/>
    <d v="1899-12-30T10:01:00"/>
    <s v="&quot;Semakin lama kenapa semakin lemot ya jaringannya, awal beli biasaÃ‚Â² aja tidak terlalu bagus jg, skrg knp jadi lemot bgt untuk nerima pesan dari whatsapp saja gk bisa, apalagi buat buka aplikasi myXL ini. Juga ingin ku berkata kasar tentang hal ini &quot;Buka myXL, Gratis, Tanpa Kuota&quot;.&quot;"/>
    <x v="0"/>
    <x v="0"/>
    <x v="0"/>
    <s v="-1.0"/>
    <s v="NULL"/>
    <s v="Positive"/>
    <x v="0"/>
    <x v="2"/>
    <s v="Positif"/>
  </r>
  <r>
    <x v="473"/>
    <x v="1"/>
    <x v="26"/>
    <d v="1899-12-30T00:09:00"/>
    <s v="&quot;Sebelumnya minta maaf kenapa nggak bisa buat stop langganan ya soalnya saya beli paket baru tp nggak bisa di gunakan karena masih ada sisa paket boster combo lite sebelumnya dan suruh nungguin masa aktifnya habis sedangkan hanya bisa buat WhatsApp itupun Lola sekali jadi lama dan sia&quot; beli paket baru lagi&quot;"/>
    <x v="0"/>
    <x v="0"/>
    <x v="0"/>
    <s v="-1.0"/>
    <s v="NULL"/>
    <s v="Negative"/>
    <x v="0"/>
    <x v="0"/>
    <s v="Positif"/>
  </r>
  <r>
    <x v="474"/>
    <x v="1"/>
    <x v="27"/>
    <d v="1899-12-30T09:18:00"/>
    <s v="&quot;kok xl ku gak ada sinyalnya sama sekali???padahal udah beli kuota?!? trus ini juga bukan di daerah pergunungan atau hutan?!?! tolong diperbaiki masalahnya!!!! kalo begini terus saya bisa rugi!!&quot;"/>
    <x v="0"/>
    <x v="0"/>
    <x v="0"/>
    <s v="-1.0"/>
    <s v="NULL"/>
    <s v="Neutral"/>
    <x v="0"/>
    <x v="1"/>
    <s v="Positif"/>
  </r>
  <r>
    <x v="475"/>
    <x v="3"/>
    <x v="27"/>
    <d v="1899-12-30T05:36:00"/>
    <s v="&quot;Saya mengalami kesulitan untuk mengisi pulsa melalui aplikasi ini. Menunya selalu gagal terbuka. Sudah hubungi CS, tetap saja, tindak lanjutnya belum ada juga&quot;"/>
    <x v="0"/>
    <x v="0"/>
    <x v="0"/>
    <s v="-1.0"/>
    <s v="NULL"/>
    <s v="Neutral"/>
    <x v="0"/>
    <x v="1"/>
    <s v="Positif"/>
  </r>
  <r>
    <x v="476"/>
    <x v="2"/>
    <x v="27"/>
    <d v="1899-12-30T03:36:00"/>
    <s v="&quot;Belakangan ini sinyal xl jadi jelek bgt lemot padahal dulu bagus bgt . Entah knp pas cek kuota di apk MYXL ko kuotanya kagaa ada kaga tau knp padahal baru aja beli . Kuotanya si kaga ilang cuma ilang di apk nya aja jadi kan kaga tau sisa brp kuotanya . Jadi harus cek manual . Tolong diperbaiki lg seperti dulu min&quot;"/>
    <x v="0"/>
    <x v="0"/>
    <x v="0"/>
    <s v="-1.0"/>
    <s v="NULL"/>
    <s v="Neutral"/>
    <x v="0"/>
    <x v="1"/>
    <s v="Positif"/>
  </r>
  <r>
    <x v="477"/>
    <x v="2"/>
    <x v="27"/>
    <d v="1899-12-30T16:55:00"/>
    <s v="&quot;xk sekarang lebih lancar dn yg pasti murah banget....pas lah buat kita kita......mari teman2 yg blm pakek xl selakah cek xl lebih terjangkau lebih lancar lebih murah yg oasti......&quot;"/>
    <x v="2"/>
    <x v="2"/>
    <x v="2"/>
    <s v="1.0"/>
    <s v="NULL"/>
    <s v="Neutral"/>
    <x v="0"/>
    <x v="1"/>
    <s v="Positif"/>
  </r>
  <r>
    <x v="478"/>
    <x v="1"/>
    <x v="27"/>
    <d v="1899-12-30T12:14:00"/>
    <s v="&quot;Pulsa saya sering habis padahal udah masang paket internet dan menggunakan jaringan wifi.. Tapi mengapa saldo pulsa zaya sering habis?? Apakah ada kesalahan sistem atau bug??&quot;"/>
    <x v="1"/>
    <x v="1"/>
    <x v="1"/>
    <s v="0.0"/>
    <s v="NULL"/>
    <s v="Neutral"/>
    <x v="1"/>
    <x v="1"/>
    <s v="Netral"/>
  </r>
  <r>
    <x v="479"/>
    <x v="4"/>
    <x v="28"/>
    <d v="1899-12-30T07:43:00"/>
    <s v="&quot;Selamat sore, sekilas info untuk xl harga paketan nya kompetitif... Tapi sayang jaringan nya belum merata. Saya tinggal di pinggiran Pare Kediri. Kalo di tempat kerja jaringan nya lancar tidak ada kendala. Tapi begitu pulang sampai rumah... Hilang sinyal nya ndak bisa buat apa apa.. padahal saya berharap bisa lancar di mana pun juga.. terima kasih&quot;"/>
    <x v="1"/>
    <x v="1"/>
    <x v="1"/>
    <s v="0.0"/>
    <s v="NULL"/>
    <s v="Negative"/>
    <x v="1"/>
    <x v="0"/>
    <s v="Netral"/>
  </r>
  <r>
    <x v="480"/>
    <x v="4"/>
    <x v="28"/>
    <d v="1899-12-30T04:08:00"/>
    <s v="&quot;Kenapa klo selesai hujan, apalagi klo hujan angin kok signal mendadak hilang, beda jauh ma produk sebelah yg tahan di segala kondisi &amp; daerah terpencil sekalipun, gini suruh betah pakek beginian, boleh murah tp jgn murahan lah, utamakan kualitas &amp; service yg bagus.&quot;"/>
    <x v="1"/>
    <x v="1"/>
    <x v="1"/>
    <s v="0.0"/>
    <s v="NULL"/>
    <s v="Neutral"/>
    <x v="1"/>
    <x v="1"/>
    <s v="Netral"/>
  </r>
  <r>
    <x v="481"/>
    <x v="2"/>
    <x v="28"/>
    <d v="1899-12-30T02:55:00"/>
    <s v="&quot;Bintang 5 biar dibaca. Saya beli kuota di apk myxl pakai pembayaran gopay, saldo gopay terpotong tetapi kuota belum masuk. Tolong dikondisikan lagi masalah2 seperti ini, ini sangat merugikan customer. Sudah lapor ke ig sosmed belum ada respon juga. payah Ã°Å¸â€˜Å½Ã°Å¸â€˜Å½Ã°Å¸â€˜Å½&quot;"/>
    <x v="0"/>
    <x v="0"/>
    <x v="0"/>
    <s v="-1.0"/>
    <s v="NULL"/>
    <s v="Neutral"/>
    <x v="0"/>
    <x v="1"/>
    <s v="Positif"/>
  </r>
  <r>
    <x v="482"/>
    <x v="1"/>
    <x v="28"/>
    <d v="1899-12-30T02:02:00"/>
    <s v="&quot;Mau bt pin baru si my xl, susah bgt, erir, di live chat solusinya hai saya mayaa ...tunggu sdg dlm pengecekan. Jadi yg bls robot dan ga jelas apa solusinya. Gila ga saya disuruh nunggu smp 30 menit. Pdhl pengecekan hny lewat komputer sistem. Apa perlu di tulis surat saya si media sosial ttg bintang 0 bt agent xl si maya tuh. Ga becus kasih solusi. Terimakasih&quot;"/>
    <x v="0"/>
    <x v="0"/>
    <x v="0"/>
    <s v="-1.0"/>
    <s v="NULL"/>
    <s v="Neutral"/>
    <x v="0"/>
    <x v="1"/>
    <s v="Positif"/>
  </r>
  <r>
    <x v="483"/>
    <x v="1"/>
    <x v="28"/>
    <d v="1899-12-30T13:38:00"/>
    <s v="&quot;Sudah registrasi, cek di *123*4444# udah teregistrasi dengan NIK ***, tapi pad mau cek *123# malah muncul menu tidak tersedia, pastikan no anda telah aktif.&quot;"/>
    <x v="1"/>
    <x v="1"/>
    <x v="1"/>
    <s v="0.0"/>
    <s v="NULL"/>
    <s v="Negative"/>
    <x v="1"/>
    <x v="0"/>
    <s v="Netral"/>
  </r>
  <r>
    <x v="484"/>
    <x v="1"/>
    <x v="28"/>
    <d v="1899-12-30T12:40:00"/>
    <s v="&quot;Halo, saya sudah beberapa hari tidak bisa akses internet padahal kuota baru saja diisi. Saya jadi terpaksa pakai SIM-card dari provider lain untuk akses internet karena saya perlu akses internet untuk kerja. Coba hubungi live chat di app myXL pun tidak bisa tersambung. Mohon solusinya, terimakasih&quot;"/>
    <x v="0"/>
    <x v="0"/>
    <x v="0"/>
    <s v="-1.0"/>
    <s v="NULL"/>
    <s v="Neutral"/>
    <x v="0"/>
    <x v="1"/>
    <s v="Positif"/>
  </r>
  <r>
    <x v="485"/>
    <x v="4"/>
    <x v="28"/>
    <d v="1899-12-30T12:32:00"/>
    <s v="&quot;Mohon di benahi masalah jaringan dong,,, plizzzzzzzzzzzzzzzzzz Terutama saat musim hujan gini, saya sekeluarga pake xl kalau signal kaya gini jadi repot semua,,, Ã°Å¸â„¢ÂÃ°Å¸â„¢ÂÃ°Å¸â„¢Â&quot;"/>
    <x v="0"/>
    <x v="0"/>
    <x v="0"/>
    <s v="-1.0"/>
    <s v="NULL"/>
    <s v="Neutral"/>
    <x v="0"/>
    <x v="1"/>
    <s v="Positif"/>
  </r>
  <r>
    <x v="486"/>
    <x v="2"/>
    <x v="28"/>
    <d v="1899-12-30T10:49:00"/>
    <s v="&quot;Akhir&quot; ini kok sinyal XL gak bagus yah?? Pada hal udah seneng banget pakai kartu XL karena lancar.. sekarang jaringannya no good... Jadi rempong dengan kerjaan yg harus menggunakan banyak kuota... Jadi gak beres klo jaringan gak bagus... Mohon donk jaringan XLnya dibaguskan lagi... Terima kasih..&quot;"/>
    <x v="0"/>
    <x v="0"/>
    <x v="0"/>
    <s v="-1.0"/>
    <s v="NULL"/>
    <s v="Negative"/>
    <x v="0"/>
    <x v="0"/>
    <s v="Positif"/>
  </r>
  <r>
    <x v="487"/>
    <x v="0"/>
    <x v="28"/>
    <d v="1899-12-30T00:10:00"/>
    <s v="&quot;Xl jaringan sudah bagus ,Internet bagus, cuma masa aktif nya jgn pelit lah,masa kalah provider yg lain semakin banyak di isi pulsa makin tambah masa aktif nya&quot;"/>
    <x v="2"/>
    <x v="2"/>
    <x v="2"/>
    <s v="1.0"/>
    <s v="NULL"/>
    <s v="Neutral"/>
    <x v="0"/>
    <x v="1"/>
    <s v="Positif"/>
  </r>
  <r>
    <x v="488"/>
    <x v="0"/>
    <x v="29"/>
    <d v="1899-12-30T09:10:00"/>
    <s v="&quot;Buat XL AXIATA 1.tolong jaringan di maksimalkan..masa pas mendung atau hujan malah ngilang Ã°Å¸Ëœâ€˜ koneksi terputus padahal loh saat saat itulah saya membutuhkan koneksi internet entah itu buat streaming maupun main games 2.kalau bisa tambahin lah paket weekend seperti saudaramu AXIS Ã°Å¸ËœÂ dan harga yg lebih murah lagi..karena dari awal pakai hp jadul nokia tulit tulit hingga sekarang saya pengguna setia XL Ã°Å¸ËœÅ  Kukira itu saja sih sebenarnya masih banyak lagi yg ingin ku sampaikan..sekian terima kasih&quot;"/>
    <x v="1"/>
    <x v="1"/>
    <x v="1"/>
    <s v="0.0"/>
    <s v="NULL"/>
    <s v="Neutral"/>
    <x v="1"/>
    <x v="1"/>
    <s v="Netral"/>
  </r>
  <r>
    <x v="489"/>
    <x v="1"/>
    <x v="29"/>
    <d v="1899-12-30T06:58:00"/>
    <s v="&quot;Halo Dev, Saya Membeli Kuota 6gb tapi kenapa kena limit speed nya? tidak bisa melebihi 100kb/s jadi percuma saya membeli kuotanya , terus saya coba cuma bisa jam 1-3 malam, anda kira saya kelelawar gitu ?. mohon di perbaiki yak , kalau sudah di fix aku kasih rate 5 . -mar&quot;"/>
    <x v="0"/>
    <x v="0"/>
    <x v="0"/>
    <s v="-1.0"/>
    <s v="NULL"/>
    <s v="Neutral"/>
    <x v="0"/>
    <x v="1"/>
    <s v="Positif"/>
  </r>
  <r>
    <x v="490"/>
    <x v="4"/>
    <x v="29"/>
    <d v="1899-12-30T04:34:00"/>
    <s v="&quot;Saya isi pulsa 75000 trus beli paket yang 71000 tapi pas nyalain data sisa pulsa nya tetep ke sedot kenapa ya?? Mohon d perbaiki,,trus juga keterangan paketnya tu dapet bonus kuota aplikasi 8 GB tapi yang masuk cmn kuota utama sama kuota daerah..kuota bonusnya d kemanain???&quot;"/>
    <x v="0"/>
    <x v="0"/>
    <x v="0"/>
    <s v="-1.0"/>
    <s v="NULL"/>
    <s v="Positive"/>
    <x v="0"/>
    <x v="2"/>
    <s v="Positif"/>
  </r>
  <r>
    <x v="491"/>
    <x v="3"/>
    <x v="29"/>
    <d v="1899-12-30T17:49:00"/>
    <s v="&quot;Sya kurangin 3 bintangnya.. Selama ini udh sering isi pulsa 100 ribu terus,kok nggk ada yg murah paketnya..orng lain jarang isi pulsa malah murah meriah paket di my xl mereka.. Payah..&quot;"/>
    <x v="0"/>
    <x v="0"/>
    <x v="0"/>
    <s v="-1.0"/>
    <s v="NULL"/>
    <s v="Neutral"/>
    <x v="0"/>
    <x v="1"/>
    <s v="Positif"/>
  </r>
  <r>
    <x v="492"/>
    <x v="1"/>
    <x v="29"/>
    <d v="1899-12-30T10:26:00"/>
    <s v="&quot;Gak bisa masuk ke aplikasi my xl, terjadi kesalahan terus, saya chat live tidak ada balasan yang bisa membantu, malah cuma di ulang2 gak jelas, gimana lah xl ni, bikin emosi aja&quot;"/>
    <x v="0"/>
    <x v="0"/>
    <x v="0"/>
    <s v="-1.0"/>
    <s v="NULL"/>
    <s v="Neutral"/>
    <x v="0"/>
    <x v="1"/>
    <s v="Positif"/>
  </r>
  <r>
    <x v="493"/>
    <x v="2"/>
    <x v="29"/>
    <d v="1899-12-30T00:49:00"/>
    <s v="&quot;saya sangat senang menggunakan xl karena untuk harga kuotanya relatif terjangkau, meskipun di cianjur khususnya ditempat saya tinggal daerah jalan baru jonggol sinyal provider xl ini suka kurang atau tiba tiba edge seketika di beberapa tempat. Untuk kedepannya saya mohon, provider xl bisa lebih meningkatkan jangkauan sinyalnya di daerah daerah agar kepercayaan customer terhadap provider xl ini lebih memuaskan, tolong diimprove ya terkait case sinyal ini karena kepuasan pelanggan no 1. Thank u xl&quot;"/>
    <x v="2"/>
    <x v="2"/>
    <x v="2"/>
    <s v="1.0"/>
    <s v="NULL"/>
    <s v="Negative"/>
    <x v="0"/>
    <x v="0"/>
    <s v="Positif"/>
  </r>
  <r>
    <x v="494"/>
    <x v="1"/>
    <x v="29"/>
    <d v="1899-12-30T00:34:00"/>
    <s v="&quot;XL jaringan nya ga stabil, apalagi pas musim hujan. Pengisian pulsa dan paket di aplikasi myxl pun aneh, ga sesuai dengan syarat dan ketentuan. Apalagi soal bonus atau jam ketentuan dll, ga sesuai janji manismuuu.&quot;"/>
    <x v="0"/>
    <x v="0"/>
    <x v="0"/>
    <s v="-1.0"/>
    <s v="NULL"/>
    <s v="Positive"/>
    <x v="0"/>
    <x v="2"/>
    <s v="Positif"/>
  </r>
  <r>
    <x v="495"/>
    <x v="0"/>
    <x v="30"/>
    <d v="1899-12-30T09:21:00"/>
    <s v="&quot;Kami berharap ke depan aplikasi MyXL lebih tepat guna tidak banyak nenu basa basi. Kelemahan aplikasi MyXL : 1. Tidak ada notifikasi ber alarm untuk mengingatkan bahwa kuota hampir habis sehingga saat kuota internet sudah habis, pemakai tidak bisa membuka aplikasi. 2. Auto debet hanya bisa dengan kartu kredit. 3. Pemberitahuan di email kurang tepat, harusnya di SMS atau WhatsApp&quot;"/>
    <x v="1"/>
    <x v="1"/>
    <x v="1"/>
    <s v="0.0"/>
    <s v="NULL"/>
    <s v="Negative"/>
    <x v="1"/>
    <x v="0"/>
    <s v="Netral"/>
  </r>
  <r>
    <x v="496"/>
    <x v="1"/>
    <x v="30"/>
    <d v="1899-12-30T08:15:00"/>
    <s v="&quot;beli pulsa 50k niatnya mao paketin kuota sendiri eh belom 5menit itu pulsa kesedot sendiri..kejadian udah 4kali, total 200k hangus,kenapa kalian ambil pulsa saya?jangan hanya minta maaf ,apa kalian bisa ganti rugi?saya pake XL udah lama kenapa jadi kaya gini?kalo ada niatan ganti rugi saya tunggu via email,terima kasih..semoga tidak terulang lagi!&quot;"/>
    <x v="0"/>
    <x v="0"/>
    <x v="0"/>
    <s v="-1.0"/>
    <s v="NULL"/>
    <s v="Neutral"/>
    <x v="0"/>
    <x v="1"/>
    <s v="Positif"/>
  </r>
  <r>
    <x v="497"/>
    <x v="1"/>
    <x v="30"/>
    <d v="1899-12-30T04:41:00"/>
    <s v="&quot;Makin kesinih makin mahal, bukannya makin murah, ini mah malah makin mahal. Voucher xl pun sekarang jadi mahal, terus daftar paket di apk myxl pun mahal2. Data edukasi tu percuma gk bisa dipakai, kebeli tapi gak bisa dipakai, kan sudah tidak lagi belajar, tolong dong sesuaikan dengan registrasi dari IKTP dong.&quot;"/>
    <x v="0"/>
    <x v="0"/>
    <x v="0"/>
    <s v="-1.0"/>
    <s v="NULL"/>
    <s v="Neutral"/>
    <x v="0"/>
    <x v="1"/>
    <s v="Positif"/>
  </r>
  <r>
    <x v="498"/>
    <x v="1"/>
    <x v="30"/>
    <d v="1899-12-30T23:01:00"/>
    <s v="&quot;Ini xl kenapa sihhh..udh jaringan sering jelek,saya beli paket pun nggak masuk masuk padahal pembayaran sudah di lakukan,aplikasinya sering keluar sendiri...haduh&quot;"/>
    <x v="0"/>
    <x v="0"/>
    <x v="0"/>
    <s v="-1.0"/>
    <s v="NULL"/>
    <s v="Neutral"/>
    <x v="0"/>
    <x v="1"/>
    <s v="Positif"/>
  </r>
  <r>
    <x v="499"/>
    <x v="3"/>
    <x v="30"/>
    <d v="1899-12-30T19:49:00"/>
    <s v="&quot;Saya kurangi bintangnya yang dari 5 ke 2, selalu upgrade apk tapi tidak ada perubahan yang signifikan.. Saat ingin check quota sering lag atau tidak muncul.. Buka aplikasi juga lambat&quot;"/>
    <x v="0"/>
    <x v="0"/>
    <x v="0"/>
    <s v="-1.0"/>
    <s v="NULL"/>
    <s v="Negative"/>
    <x v="0"/>
    <x v="0"/>
    <s v="Positif"/>
  </r>
  <r>
    <x v="500"/>
    <x v="1"/>
    <x v="30"/>
    <d v="1899-12-30T12:57:00"/>
    <s v="&quot;Kuota mau habis? Gunakan pulsa siaga Rp 12000 seharga Rp 14400, akan kami potong pada pengisian pulsa berikutnya. Balas OK untuk menerima Maksud dari spam chat ini apa yah ,setiap hari pasti ada ,dan ganggu sinyal nya&quot;"/>
    <x v="1"/>
    <x v="1"/>
    <x v="1"/>
    <s v="0.0"/>
    <s v="NULL"/>
    <s v="Positive"/>
    <x v="1"/>
    <x v="2"/>
    <s v="Netral"/>
  </r>
  <r>
    <x v="501"/>
    <x v="1"/>
    <x v="31"/>
    <d v="1899-12-30T02:00:00"/>
    <s v="&quot;Kouta bonus aplikasi combo plus saya 18GB tidak bisa di gunakan padahal saya beli banyak, saya coba menyelesaikannya di live chat anehnya ga bisa membantu sudah antri lama,sudah terhubung malah antri lagi nomernya antrian 22,kan parah....sampah sekarang tidak bisa mengambil bonus aplikasi 18GB 1bulan sudah menggunakan versi terbaru 5.5.9&quot;"/>
    <x v="0"/>
    <x v="0"/>
    <x v="0"/>
    <s v="-1.0"/>
    <s v="NULL"/>
    <s v="Positive"/>
    <x v="0"/>
    <x v="2"/>
    <s v="Positif"/>
  </r>
  <r>
    <x v="502"/>
    <x v="1"/>
    <x v="31"/>
    <d v="1899-12-30T14:57:00"/>
    <s v="&quot;Perhitungan kuota prioritas yg gk bisa dimengerti customer,,,gua langganan prioritas dg jatah kuota 40G per bulan dan tlp 150mnit,,tp dipake tlp kena biaya lain, kuota kepake 1 g ada estimasi tagihan 158rb,, kalo daftar prioritas cukup by phone, tp jika mau berhenti berlangganan gk bisa by phone,, operator aneh kesannya jd seperti pemalakan&quot;"/>
    <x v="0"/>
    <x v="0"/>
    <x v="0"/>
    <s v="-1.0"/>
    <s v="NULL"/>
    <s v="Neutral"/>
    <x v="0"/>
    <x v="1"/>
    <s v="Positif"/>
  </r>
  <r>
    <x v="503"/>
    <x v="4"/>
    <x v="31"/>
    <d v="1899-12-30T12:53:00"/>
    <s v="&quot;Tiga bintang dulu,signal XL nya kalo video call gambar pecah-pecah,suara putus-putus. Tolong diperbaiki dan ditingkat kan kualitas signal nya trima kasih.&quot;"/>
    <x v="0"/>
    <x v="0"/>
    <x v="0"/>
    <s v="-1.0"/>
    <s v="NULL"/>
    <s v="Neutral"/>
    <x v="0"/>
    <x v="1"/>
    <s v="Positif"/>
  </r>
  <r>
    <x v="504"/>
    <x v="1"/>
    <x v="31"/>
    <d v="1899-12-30T00:43:00"/>
    <s v="&quot;Halo pihak XL, saya mau minta pertanggungjawaban, karena pulsa saya kepotong 18.000 stelah mendownload my XL, jika ingin mencari keuntungan jgn seperti ini, ini sama dengan merugikan pengguna XL Dan tidak ada tanggapan dari live chat. Sangat buruk sekali&quot;"/>
    <x v="0"/>
    <x v="0"/>
    <x v="0"/>
    <s v="-1.0"/>
    <s v="NULL"/>
    <s v="Neutral"/>
    <x v="0"/>
    <x v="1"/>
    <s v="Positif"/>
  </r>
  <r>
    <x v="505"/>
    <x v="1"/>
    <x v="32"/>
    <d v="1899-12-30T02:28:00"/>
    <s v="&quot;Mau buka app nya ajja setengah mati lama nya, maaf bukan nya ngejelek2in tp fakta, sy komplen ini ke myxl yah bukan ke provider xl. Biar ada pengembangan, peningkatan.&quot;"/>
    <x v="0"/>
    <x v="0"/>
    <x v="0"/>
    <s v="-1.0"/>
    <s v="NULL"/>
    <s v="Neutral"/>
    <x v="0"/>
    <x v="1"/>
    <s v="Positif"/>
  </r>
  <r>
    <x v="506"/>
    <x v="1"/>
    <x v="32"/>
    <d v="1899-12-30T17:02:00"/>
    <s v="&quot;Jaringan sangat tidak stabil. Bukan 1 kali 2 kali. Hampir tiap hari. Kadang hilang sendiri. Paling lama sejam hilang loh. Apasih. Internetan malah bikin darting. Pelayanan CS nya jga kagak jelas. MAYA MAYA MAYA. Langsung to the point. Pemecahan masalah. Gk pake ribet. Udah jaringan lelet + penanganan sangat tidak memuaskan&quot;"/>
    <x v="0"/>
    <x v="0"/>
    <x v="0"/>
    <s v="-1.0"/>
    <s v="NULL"/>
    <s v="Neutral"/>
    <x v="0"/>
    <x v="1"/>
    <s v="Positif"/>
  </r>
  <r>
    <x v="507"/>
    <x v="1"/>
    <x v="32"/>
    <d v="1899-12-30T14:50:00"/>
    <s v="&quot;Gila. Kesel banget gua nih. Setiap beli pulsa langsung kepotong gak tau kenapa. Udahlah kepotong nya banyak banget lagi. Kayak maling aja. Se harunya gk bisa kayak gini dong harus tangung jawab&quot;"/>
    <x v="0"/>
    <x v="0"/>
    <x v="0"/>
    <s v="-1.0"/>
    <s v="NULL"/>
    <s v="Neutral"/>
    <x v="0"/>
    <x v="1"/>
    <s v="Positif"/>
  </r>
  <r>
    <x v="508"/>
    <x v="1"/>
    <x v="32"/>
    <d v="1899-12-30T13:08:00"/>
    <s v="&quot;Mau di kota atu di kampung. Sama aja jaringannya lemot mau pake paket yg VIP pun juga gak ngaruh.. XL bangkong... Liat ratting ulasan ternyata sama keluhannya. Liar binasa Ã°Å¸â€˜â€¹Ã°Å¸â€˜â€¹Ã°Å¸â€˜â€¹&quot;"/>
    <x v="0"/>
    <x v="0"/>
    <x v="0"/>
    <s v="-1.0"/>
    <s v="NULL"/>
    <s v="Positive"/>
    <x v="0"/>
    <x v="2"/>
    <s v="Positif"/>
  </r>
  <r>
    <x v="509"/>
    <x v="1"/>
    <x v="32"/>
    <d v="1899-12-30T12:48:00"/>
    <s v="&quot;Tolong jangan dihapus lagi lah, ini demi kebaikan pengguna yang lain, tolong sediakan pembelian kuota dengan SMS, kasihan pengguna yang sinyalnya tindak mendukung&quot;"/>
    <x v="0"/>
    <x v="0"/>
    <x v="0"/>
    <s v="-1.0"/>
    <s v="NULL"/>
    <s v="Neutral"/>
    <x v="0"/>
    <x v="1"/>
    <s v="Positif"/>
  </r>
  <r>
    <x v="510"/>
    <x v="1"/>
    <x v="32"/>
    <d v="1899-12-30T12:35:00"/>
    <s v="&quot;Ini SMS dari 4444. Nomer Anda sudah diaktifkan sebelumnya. Untuk registrasi ketik : DAFTAR#NIK#NomorKK kirim ke 4444. Tetapi tetap saja no XL baru beli ini tidak bisa di pakai. Padahal masa berlaku s/d 31 Maret 2022&quot;"/>
    <x v="1"/>
    <x v="1"/>
    <x v="1"/>
    <s v="0.0"/>
    <s v="NULL"/>
    <s v="Negative"/>
    <x v="1"/>
    <x v="0"/>
    <s v="Netral"/>
  </r>
  <r>
    <x v="511"/>
    <x v="1"/>
    <x v="32"/>
    <d v="1899-12-30T11:47:00"/>
    <s v="&quot;please lah XL salah saya apa kenapa saya beli pulsa kepotong nya gede bngtttttttt jadi gk bisa buat ke paketan,apa itu bukan malinggggg,padahal saya gk nyalain data!!!dasar XL penipu maling jijik gw pake xl&quot;"/>
    <x v="0"/>
    <x v="0"/>
    <x v="0"/>
    <s v="-1.0"/>
    <s v="NULL"/>
    <s v="Positive"/>
    <x v="0"/>
    <x v="2"/>
    <s v="Positif"/>
  </r>
  <r>
    <x v="512"/>
    <x v="0"/>
    <x v="32"/>
    <d v="1899-12-30T11:10:00"/>
    <s v="&quot;Hai min, emang xl ada masalah ya, dirumah saya biasanya sinyalnya lancar jaya, tapi kok akhir akhir ini ga ada sinyal, padahal kuota masih banyak hehee&quot;"/>
    <x v="1"/>
    <x v="1"/>
    <x v="1"/>
    <s v="0.0"/>
    <s v="NULL"/>
    <s v="Neutral"/>
    <x v="1"/>
    <x v="1"/>
    <s v="Netral"/>
  </r>
  <r>
    <x v="513"/>
    <x v="3"/>
    <x v="33"/>
    <d v="1899-12-30T04:23:00"/>
    <s v="&quot;Sering keluar sendiri saat mau buka aplikasinya, jadi terganggu. Padahal kondisi sinyal, hape, segala macem baik baik aja. Tapi overall berguna kok fiturnya.&quot;"/>
    <x v="1"/>
    <x v="1"/>
    <x v="1"/>
    <s v="0.0"/>
    <s v="NULL"/>
    <s v="Neutral"/>
    <x v="1"/>
    <x v="1"/>
    <s v="Netral"/>
  </r>
  <r>
    <x v="514"/>
    <x v="4"/>
    <x v="33"/>
    <d v="1899-12-30T16:31:00"/>
    <s v="&quot;Bagus untuk kontrol kuota krn bisa cek secara detail.. tapi kadang harus selalu update kl g update muncul tulisan &quot; tunggu 30 detik &quot; udh diklik lanjutkan msih kluar tulisan itu... Ã°Å¸Ëœâ€œÃ°Å¸Ëœâ€œ&quot;"/>
    <x v="2"/>
    <x v="2"/>
    <x v="2"/>
    <s v="1.0"/>
    <s v="NULL"/>
    <s v="Neutral"/>
    <x v="0"/>
    <x v="1"/>
    <s v="Positif"/>
  </r>
  <r>
    <x v="515"/>
    <x v="1"/>
    <x v="33"/>
    <d v="1899-12-30T15:39:00"/>
    <s v="&quot;Gini loh yah saya beli paket 6GB saya pas itu 1GB besok nya 1GB jadi total nya 2GB malamnya saya mau buka tik tok gk bisa ternyata paket nya udah habis ini maksudnya apa yh? Saya beli itu pake uang loh bukan pake daun 4GB nya hilang kemana pas saya cek udah 0KB ini gimana yh??? Saya juga udah hemat loh buat beli paket saya udah muyak kalau kayak gini. Di perbaiki lagi yh semoga lebih bagus dan harus sama GB yg di tulis di paket nya jangan cuman tulisan aja!!!!Ã°Å¸Ëœâ‚¬Ã°Å¸â„¢ÂÃ°Å¸ÂÂ»&quot;"/>
    <x v="0"/>
    <x v="0"/>
    <x v="0"/>
    <s v="-1.0"/>
    <s v="NULL"/>
    <s v="Neutral"/>
    <x v="0"/>
    <x v="1"/>
    <s v="Positif"/>
  </r>
  <r>
    <x v="516"/>
    <x v="2"/>
    <x v="33"/>
    <d v="1899-12-30T13:42:00"/>
    <s v="&quot;Mantap kritik dan saran saya didengar oleh pihak XL, sekarang saya ga takut lagi pulsanya hilang karna sms langganan yg tak jelas maupun terkuras karna internet diluar quota. Good JoB, tinggal perbaiki masalah jaringan ditempat saya.&quot;"/>
    <x v="2"/>
    <x v="2"/>
    <x v="2"/>
    <s v="1.0"/>
    <s v="NULL"/>
    <s v="Positive"/>
    <x v="0"/>
    <x v="2"/>
    <s v="Positif"/>
  </r>
  <r>
    <x v="517"/>
    <x v="4"/>
    <x v="33"/>
    <d v="1899-12-30T12:29:00"/>
    <s v="&quot;Assalamualaikum Kepada pihak XL yang terhormat, mohon bantuannya Saya sudah memasukkan nomor yang benar tetapi pada saat saya klik &quot;lanjutkan&quot;, muncul tulisan: &quot;Sedang Terjadi Kesalahan. Maaf, saat ini Anda belum bisa masuk dan menggunakan layanan myXL. Silakan coba beberapa saat lagi. (Kode: )&quot; Mohon bantuannya Terima kasih Ã°Å¸â„¢Â&quot;"/>
    <x v="1"/>
    <x v="1"/>
    <x v="1"/>
    <s v="0.0"/>
    <s v="NULL"/>
    <s v="Neutral"/>
    <x v="1"/>
    <x v="1"/>
    <s v="Netral"/>
  </r>
  <r>
    <x v="518"/>
    <x v="1"/>
    <x v="33"/>
    <d v="1899-12-30T12:02:00"/>
    <s v="&quot;Jaringan nya bagus banget !!!!!!!!!!!!!!!!!!!!!!!!!!!!!!!!!!!!!!!!!!!!!!!!!!!!!!!!!!!!!!!!!!!!!!!!!!!!!!!!!!!!!!!!!!!!!!!!!!!!!!!!!!!!!!!!!!!!!!!!!!!!!!!!!!!!!!!!!!!!!!!!!!!!!!!!!!!!!!!!!!!!!!!!!!!!!!!!!!!!!!!!!!!!!!!!!!!!!!!!!!!!!!!!!!!!!!!!!!!!!!!!!!!!!!!!!!!!!!!!!!!!!!!!!!!!!!!!!!!!!!!!!!!!!!!!!!!!!!!!!!!!!!!!!!!!!!!!! Tapi boong&quot;"/>
    <x v="1"/>
    <x v="1"/>
    <x v="1"/>
    <s v="0.0"/>
    <s v="NULL"/>
    <s v="Neutral"/>
    <x v="1"/>
    <x v="1"/>
    <s v="Netral"/>
  </r>
  <r>
    <x v="519"/>
    <x v="4"/>
    <x v="34"/>
    <d v="1899-12-30T13:10:00"/>
    <s v="&quot;Kenapa pulsa saya terpotong padahal saya menggunakan WiFi? Dan saya juga tidak punya hutang pulsa di XL, bisa tolong jelaskan? Saya sudah bertanya kepada Maya, namun tidak ada balasan&quot;"/>
    <x v="0"/>
    <x v="0"/>
    <x v="0"/>
    <s v="-1.0"/>
    <s v="NULL"/>
    <s v="Neutral"/>
    <x v="0"/>
    <x v="1"/>
    <s v="Positif"/>
  </r>
  <r>
    <x v="520"/>
    <x v="1"/>
    <x v="35"/>
    <d v="1899-12-30T13:32:00"/>
    <s v="&quot;Harusnya makin lama,makin bagus ini malah makin lama makin lemot jaringannya. Pas awal pake xl suka karna jaringannya bagus sekarang malah jaringan 4G tapi loading sampai batrei habis,miris&quot;"/>
    <x v="0"/>
    <x v="0"/>
    <x v="0"/>
    <s v="-1.0"/>
    <s v="NULL"/>
    <s v="Neutral"/>
    <x v="0"/>
    <x v="1"/>
    <s v="Positif"/>
  </r>
  <r>
    <x v="521"/>
    <x v="4"/>
    <x v="35"/>
    <d v="1899-12-30T12:08:00"/>
    <s v="&quot;Tidak ada pengaturan non aktif paket yg telah di beli tanpa menghilangkan paket tersebut sebelum masa aktif berakhir, sehingga klo mau mengaktifkan paket yg lain ga bisa krna otomatis memilih paket sebelumnya&quot;"/>
    <x v="1"/>
    <x v="1"/>
    <x v="1"/>
    <s v="0.0"/>
    <s v="NULL"/>
    <s v="Neutral"/>
    <x v="1"/>
    <x v="1"/>
    <s v="Netral"/>
  </r>
  <r>
    <x v="522"/>
    <x v="0"/>
    <x v="36"/>
    <d v="1899-12-30T09:57:00"/>
    <s v="&quot;Karna saya selalu di persulit ketika mau balik lagi ke XL prabayar padahal tagihan sudah saya bayar semua tapi kenapa proses nya lama dulu aja pas mau daftar ke XL pascabayar di proses nya gak lama.Ã°Å¸ËœÅ’Ã°Å¸ËœÅ’ Intinya saya mau balik lagi ke XL prabayar nanti baru di kasih bintang 5&quot;"/>
    <x v="1"/>
    <x v="1"/>
    <x v="1"/>
    <s v="0.0"/>
    <s v="NULL"/>
    <s v="Neutral"/>
    <x v="1"/>
    <x v="1"/>
    <s v="Netral"/>
  </r>
  <r>
    <x v="523"/>
    <x v="3"/>
    <x v="36"/>
    <d v="1899-12-30T09:49:00"/>
    <s v="&quot;Cukup membantu untuk beli paket kuota dan cek status kuota.. tp sayang klo ada 2 paket aktif kenapa yg berkurang duluan yg masa aktifnya lebih lama.. aneh sii.. mohon diperhatikan dan diperbaiki yaa.. trimakasih&quot;"/>
    <x v="1"/>
    <x v="1"/>
    <x v="1"/>
    <s v="0.0"/>
    <s v="NULL"/>
    <s v="Neutral"/>
    <x v="1"/>
    <x v="1"/>
    <s v="Netral"/>
  </r>
  <r>
    <x v="524"/>
    <x v="1"/>
    <x v="36"/>
    <d v="1899-12-30T07:50:00"/>
    <s v="&quot;Kalau ada kolom NOL bintang saya akan pilih kolom NOL bintang, sebab tidak pantas walau cuma untuk satu bintang, sebab sinyal lelet lemoot ditambah listrik PLN mati/aliran, maka tambah lemoot leletÃ°Å¸â€˜Å½&quot;"/>
    <x v="0"/>
    <x v="0"/>
    <x v="0"/>
    <s v="-1.0"/>
    <s v="NULL"/>
    <s v="Neutral"/>
    <x v="0"/>
    <x v="1"/>
    <s v="Positif"/>
  </r>
  <r>
    <x v="525"/>
    <x v="3"/>
    <x v="36"/>
    <d v="1899-12-30T04:52:00"/>
    <s v="&quot;Sinyal sering drop, sering sinyalnya tiba-tiba hilang (lagi dijalan, padahal cuaca cerah, gak mati listrik), gagal memuat data saat menggunakan aplikasi, tidak bisa beli beberapa paket internet sekaligus atau harus satu-satu baru bisa, harga paket internet yang terus mahal padahal kualitas tidak sesuai, ping internet tidak stabil dan sebenarnya masih banyak lagi. Untuk overall bagi pengguna yang sabar mungkin masih recommend menggunakan provider ini. Semoga bisa lebih baik lagi kedepannya!&quot;"/>
    <x v="0"/>
    <x v="0"/>
    <x v="0"/>
    <s v="-1.0"/>
    <s v="NULL"/>
    <s v="Positive"/>
    <x v="0"/>
    <x v="2"/>
    <s v="Positif"/>
  </r>
  <r>
    <x v="526"/>
    <x v="1"/>
    <x v="36"/>
    <d v="1899-12-30T03:52:00"/>
    <s v="&quot;Aplikasi ini 5.5.9, aplikasi eror, terutama karena xtra combo plus tidak bisa buka. Bonus tidak ada. Masih terbaik 5.5.0, semoga bisa membantu.&quot;"/>
    <x v="0"/>
    <x v="0"/>
    <x v="0"/>
    <s v="-1.0"/>
    <s v="NULL"/>
    <s v="Positive"/>
    <x v="0"/>
    <x v="2"/>
    <s v="Positif"/>
  </r>
  <r>
    <x v="527"/>
    <x v="1"/>
    <x v="36"/>
    <d v="1899-12-30T17:12:00"/>
    <s v="&quot;Apa gunanya ada program swadaya untuk MITRA DRIVER GOJEK. namun tidak bisa di akses.. sejak desember halaman tidak bisa di akses bahkan dr aplikasi My XL pilihan paket tidak tampil zonk. Saya pelanggan XL dari 2007 sampai sekarang tapi tidak ada bonus atau reward apapun yang saya dapat melainkan RASA KECEWA Ã°Å¸Ëœ Ã°Å¸Ëœ Ã°Å¸Ëœ&quot;"/>
    <x v="0"/>
    <x v="0"/>
    <x v="0"/>
    <s v="-1.0"/>
    <s v="NULL"/>
    <s v="Positive"/>
    <x v="0"/>
    <x v="2"/>
    <s v="Positif"/>
  </r>
  <r>
    <x v="528"/>
    <x v="2"/>
    <x v="36"/>
    <d v="1899-12-30T11:07:00"/>
    <s v="&quot;Untuk update saat ini cukup lumayan bagus,tetapi pada fitur *KONTROL PULSA* tetap di tingkatkan lagi fiturnya. Dan di fitur Live Chat Asisten Virtual Maya sudah lumayan bagus,tapi ketika mengakses nya sedikit ada &quot;lagging&quot; Juga pada fitur cek area/device VoLTE/4G sedikit mengalami nge - &quot;Freez&quot; disaat itu juga mengalami sedikit peningkatan suhu pada device.&quot;"/>
    <x v="2"/>
    <x v="2"/>
    <x v="2"/>
    <s v="1.0"/>
    <s v="NULL"/>
    <s v="Negative"/>
    <x v="0"/>
    <x v="0"/>
    <s v="Positif"/>
  </r>
  <r>
    <x v="529"/>
    <x v="4"/>
    <x v="37"/>
    <d v="1899-12-30T08:30:00"/>
    <s v="&quot;Lumayan suka saya selama makai krtu XL AXiata cukup membantu. Tetapi jaringan sering hilang mohon jaringanx di tingkatkan lagi,,,,saya kasih Ã¢Â­Â3 dlu nanti makin bagus jaringanx saya tmbah Ã¢Â­Â lgi..... Terima kasih&quot;"/>
    <x v="2"/>
    <x v="2"/>
    <x v="2"/>
    <s v="1.0"/>
    <s v="NULL"/>
    <s v="Neutral"/>
    <x v="0"/>
    <x v="1"/>
    <s v="Positif"/>
  </r>
  <r>
    <x v="530"/>
    <x v="1"/>
    <x v="37"/>
    <d v="1899-12-30T06:01:00"/>
    <s v="&quot;Sinyal XL sungguh hancur di daerah Gresik kecamatan Benjeng. Kadang sudah 4G+ buat main game tibaÃ‚Â² jadi H. Alhasil main game online jadi amburadul. Kalah terus garaÃ‚Â² sinyal yg hancur. Tolong di perbaiki kalau gak mau kalah sama yg lain. Kalau gini terus nomer XL saya hanguskan biar jera.&quot;"/>
    <x v="0"/>
    <x v="0"/>
    <x v="0"/>
    <s v="-1.0"/>
    <s v="NULL"/>
    <s v="Neutral"/>
    <x v="0"/>
    <x v="1"/>
    <s v="Positif"/>
  </r>
  <r>
    <x v="531"/>
    <x v="0"/>
    <x v="37"/>
    <d v="1899-12-30T02:19:00"/>
    <s v="&quot;Apk.bagus. tp sinyal jlk banget hari ini. Dari pagi E terus. Apalagi klo hujan. Sy skrg d jln Baturaja jakpus. Sering d bully sm rekan krj krn pke XL. ini bukan nyinyir y,tp masukan utk XL. Krn sy ttp pke XL.&quot;"/>
    <x v="2"/>
    <x v="2"/>
    <x v="2"/>
    <s v="1.0"/>
    <s v="NULL"/>
    <s v="Negative"/>
    <x v="0"/>
    <x v="0"/>
    <s v="Positif"/>
  </r>
  <r>
    <x v="532"/>
    <x v="3"/>
    <x v="37"/>
    <d v="1899-12-30T15:39:00"/>
    <s v="&quot;Pengen beli paket data kok kosong.... udah update 2x sampe hapus data.... tetep aja NIHIL.... Mana my XL ?????? Jaringan buat sy dah lumayan ...tapi kaga bisa beli paket....&quot;"/>
    <x v="0"/>
    <x v="0"/>
    <x v="0"/>
    <s v="-1.0"/>
    <s v="NULL"/>
    <s v="Neutral"/>
    <x v="0"/>
    <x v="1"/>
    <s v="Positif"/>
  </r>
  <r>
    <x v="533"/>
    <x v="1"/>
    <x v="37"/>
    <d v="1899-12-30T13:25:00"/>
    <s v="&quot;Ini apa apl nya apa sinyalnya sih !!? Pas di buka malah ada tulisan &quot;Coba lagi coba lagi coba lagi&quot; trus aja gitu...kayanya dua duanya dech !!&quot;"/>
    <x v="1"/>
    <x v="1"/>
    <x v="1"/>
    <s v="0.0"/>
    <s v="NULL"/>
    <s v="Neutral"/>
    <x v="1"/>
    <x v="1"/>
    <s v="Netral"/>
  </r>
  <r>
    <x v="534"/>
    <x v="1"/>
    <x v="37"/>
    <d v="1899-12-30T11:34:00"/>
    <s v="&quot;Saya pengguna kartu perdana xl yang cukup lama sangat kecewa, Setiap kali isi pulsa selalu terpotong 1000/harinya padahal tidak di gunakan sama sekali dan anehnya setiap hari ada sms &quot;(Anda sedang menikmati internet dengan tarif normal Rp1rb/MB. Mau YOUTUBE tanpa kuota? Pilih Pkt XTRA Combo di *123#&quot;) padahal jaringan seluler menggunakan perdana yang lain Dan kejadian ini bukan saya saja yang mengalaminya.&quot;"/>
    <x v="0"/>
    <x v="0"/>
    <x v="0"/>
    <s v="-1.0"/>
    <s v="NULL"/>
    <s v="Neutral"/>
    <x v="0"/>
    <x v="1"/>
    <s v="Positif"/>
  </r>
  <r>
    <x v="535"/>
    <x v="1"/>
    <x v="37"/>
    <d v="1899-12-30T00:27:00"/>
    <s v="&quot;Awal tahun sampe tanggal sekarang jaringan jelek banget, buat lu yang blm pake xl mending jangan dah, xl lagi ancur-ancurnya gak ada perbaikan sinyal, nonton yutub 144 aja ngeleg terus, kebayangkan lu mau chatingan kayak apa, xl cacad.&quot;"/>
    <x v="0"/>
    <x v="0"/>
    <x v="0"/>
    <s v="-1.0"/>
    <s v="NULL"/>
    <s v="Neutral"/>
    <x v="0"/>
    <x v="1"/>
    <s v="Positif"/>
  </r>
  <r>
    <x v="536"/>
    <x v="1"/>
    <x v="38"/>
    <d v="1899-12-30T07:53:00"/>
    <s v="&quot;Mohon di infokan... Saya daftar untuk tambah kuota... Kuota lama saya malah hilang... Pdhl kuota lama saya masih banyak... Biasanya nggak apa apa ... Tolong kembalikan kuota saya!!!&quot;"/>
    <x v="0"/>
    <x v="0"/>
    <x v="0"/>
    <s v="-1.0"/>
    <s v="NULL"/>
    <s v="Neutral"/>
    <x v="0"/>
    <x v="1"/>
    <s v="Positif"/>
  </r>
  <r>
    <x v="537"/>
    <x v="1"/>
    <x v="38"/>
    <d v="1899-12-30T23:23:00"/>
    <s v="&quot;Mohon maaf pak, kenapa pas kena update malah sering gagal loding,mau bagi paket malah dirusuh bikin pin pas udah mau bikin pin eeee malah erorr, trus kode verifikasi datang pas sya keluar dri app, kan ini bencana adik adik&quot;"/>
    <x v="0"/>
    <x v="0"/>
    <x v="0"/>
    <s v="-1.0"/>
    <s v="NULL"/>
    <s v="Neutral"/>
    <x v="0"/>
    <x v="1"/>
    <s v="Positif"/>
  </r>
  <r>
    <x v="538"/>
    <x v="0"/>
    <x v="38"/>
    <d v="1899-12-30T17:59:00"/>
    <s v="&quot;aplikasinya bagus top lah buat XL................. ........................................................................................................................................................................................................................................................................................................................kenapa aku kasih bintang 4 soal nya masih ada yg kurang baik ya itu sering keluar dengan sendirinya tolong di perbaiki lagi aplikasinya&quot;"/>
    <x v="2"/>
    <x v="2"/>
    <x v="2"/>
    <s v="1.0"/>
    <s v="NULL"/>
    <s v="Positive"/>
    <x v="0"/>
    <x v="2"/>
    <s v="Positif"/>
  </r>
  <r>
    <x v="539"/>
    <x v="1"/>
    <x v="38"/>
    <d v="1899-12-30T13:52:00"/>
    <s v="&quot;Hati-hati xl,jika terlalu sering bermasalah jaringan internetnya maka pelangganpun akan semakin cepat meninggalkanmu. Dan beralih ke provider yang merah. (Sekarang bintang saya naikan menjadi 5,karena sudah lebih baik lagi)&quot;"/>
    <x v="0"/>
    <x v="0"/>
    <x v="0"/>
    <s v="-1.0"/>
    <s v="NULL"/>
    <s v="Neutral"/>
    <x v="0"/>
    <x v="1"/>
    <s v="Positif"/>
  </r>
  <r>
    <x v="540"/>
    <x v="1"/>
    <x v="39"/>
    <d v="1899-12-30T09:10:00"/>
    <s v="&quot;Sinyal sangat buruk, kuota banyak sering tidak habis, hanya krn sinyal bisa mati berjam2 dan itu berulang tiap harinya. Bar sinyal ada, tpi tidak bisa konek ke jaringam internet. Seperti hanya utk pajangan saja. Uda hubungi &quot;Maya&quot;, tp ga ada perubahan. Sangat mengecewakan.&quot;"/>
    <x v="0"/>
    <x v="0"/>
    <x v="0"/>
    <s v="-1.0"/>
    <s v="NULL"/>
    <s v="Neutral"/>
    <x v="0"/>
    <x v="1"/>
    <s v="Positif"/>
  </r>
  <r>
    <x v="541"/>
    <x v="3"/>
    <x v="39"/>
    <d v="1899-12-30T08:03:00"/>
    <s v="&quot;pihak xl tolong konfirmasinya ya ,saya beli unlimited premium harga 50.000 untuk sebulan, tapi kenapa cuma bisa sampai 7 hari aja, tolong tanggung jawabnya ini bukan pertama kalinya ya&quot;"/>
    <x v="1"/>
    <x v="1"/>
    <x v="1"/>
    <s v="0.0"/>
    <s v="NULL"/>
    <s v="Neutral"/>
    <x v="1"/>
    <x v="1"/>
    <s v="Netral"/>
  </r>
  <r>
    <x v="542"/>
    <x v="4"/>
    <x v="39"/>
    <d v="1899-12-30T04:31:00"/>
    <s v="&quot;Untuk live chatnya mohon diperbaiki, pelayanannya tolong dipercepat. Kasihan yang sudah lama menunggu antrian tetapi saat sudah mendapatkan giliran malah pelayanannya lelet. Terima kasih&quot;"/>
    <x v="0"/>
    <x v="0"/>
    <x v="0"/>
    <s v="-1.0"/>
    <s v="NULL"/>
    <s v="Neutral"/>
    <x v="0"/>
    <x v="1"/>
    <s v="Positif"/>
  </r>
  <r>
    <x v="543"/>
    <x v="4"/>
    <x v="39"/>
    <d v="1899-12-30T02:09:00"/>
    <s v="&quot;Aplk nya berat...klo di buka lama banget muter nya.... Klo promo2 nya aq suka...terus tingkat kan dan di tambah trs promo2 nya....signal nya juga bagus di daerah ku..&quot;"/>
    <x v="1"/>
    <x v="1"/>
    <x v="1"/>
    <s v="0.0"/>
    <s v="NULL"/>
    <s v="Neutral"/>
    <x v="1"/>
    <x v="1"/>
    <s v="Netral"/>
  </r>
  <r>
    <x v="544"/>
    <x v="1"/>
    <x v="39"/>
    <d v="1899-12-30T21:56:00"/>
    <s v="&quot;Apakah terjadi ke saya aja atau pengguna lain? Mau masuk myxl g bisa, gmn ngeklaim unlimited. Beli paketan klo masuk app aja gak bisa.. sampe detik ini gak bisa. Udh berminggu2.&quot;"/>
    <x v="0"/>
    <x v="0"/>
    <x v="0"/>
    <s v="-1.0"/>
    <s v="NULL"/>
    <s v="Neutral"/>
    <x v="0"/>
    <x v="1"/>
    <s v="Positif"/>
  </r>
  <r>
    <x v="545"/>
    <x v="4"/>
    <x v="39"/>
    <d v="1899-12-30T16:59:00"/>
    <s v="&quot;terkadang aplikasinya masih suka susah untuk di buka...dan juga update sisa kuota paketnya selalu suka berubah-ubah.....walaupun cukup membantu...lebih ditingkatkan lagi saja aplikasi nya min....agar pelanggan juga puas dengan mendownload aplikasi ini....&quot;"/>
    <x v="1"/>
    <x v="1"/>
    <x v="1"/>
    <s v="0.0"/>
    <s v="NULL"/>
    <s v="Neutral"/>
    <x v="1"/>
    <x v="1"/>
    <s v="Netral"/>
  </r>
  <r>
    <x v="546"/>
    <x v="3"/>
    <x v="39"/>
    <d v="1899-12-30T15:02:00"/>
    <s v="&quot;Saya kurangin lgi bintangnya, Jujur pembagian kuota youtube buat apa? Kalau setiap buka youtube yang kesedot malah kuota utama, setelah kuota utama habis nggak bisa buka youtube padahal paketan kuota youtube masih utuh,, pemodohan kalo bgni caranyaÃ°Å¸Ëœâ€ Tolong kenyamanan dan kepercayaan pelanggan di prioritaskan, makasih&quot;"/>
    <x v="0"/>
    <x v="0"/>
    <x v="0"/>
    <s v="-1.0"/>
    <s v="NULL"/>
    <s v="Neutral"/>
    <x v="0"/>
    <x v="1"/>
    <s v="Positif"/>
  </r>
  <r>
    <x v="547"/>
    <x v="1"/>
    <x v="39"/>
    <d v="1899-12-30T14:40:00"/>
    <s v="&quot;Sebenernya udah bagus dulu, tapi sekarang kok malah bikin stres sih sinyal lah gangguan lah udah direstart berulangkali loh masih aja, punya kuota juga masih banyak. Kasih solusi dong buat daring nya itu loh susah&quot;"/>
    <x v="0"/>
    <x v="0"/>
    <x v="0"/>
    <s v="-1.0"/>
    <s v="NULL"/>
    <s v="Positive"/>
    <x v="0"/>
    <x v="2"/>
    <s v="Positif"/>
  </r>
  <r>
    <x v="548"/>
    <x v="1"/>
    <x v="39"/>
    <d v="1899-12-30T14:39:00"/>
    <s v="&quot;Kuota masih 12 GB, unlimited juga nyala! Tapi kenapa buat buka aplikasi xL saja eror? Buka youtube juga muter terus?? Sudah berulang kali matiin data matiin daya, berulang kali tetap sama ? Kuota tidak bisa di pakai??&quot;"/>
    <x v="0"/>
    <x v="0"/>
    <x v="0"/>
    <s v="-1.0"/>
    <s v="NULL"/>
    <s v="Neutral"/>
    <x v="0"/>
    <x v="1"/>
    <s v="Positif"/>
  </r>
  <r>
    <x v="549"/>
    <x v="1"/>
    <x v="39"/>
    <d v="1899-12-30T14:39:00"/>
    <s v="&quot;Belakangan ini sinyalnya kek taik !!! Gw dari kartu 3(tri) gw bela2in pindah xl !! Jangan sampe ini berkelanjutan yaa !!! Tolong secepatnya jangan gampang trouble sinyalnya !!! Kalo mendung hujan gw maklumin ! Lah ini cerah bet masak trouble mulu !!! Ã°Å¸Ëœâ€¢Ã°Å¸Â¤Â¨&quot;"/>
    <x v="0"/>
    <x v="0"/>
    <x v="0"/>
    <s v="-1.0"/>
    <s v="NULL"/>
    <s v="Negative"/>
    <x v="0"/>
    <x v="0"/>
    <s v="Positif"/>
  </r>
  <r>
    <x v="550"/>
    <x v="3"/>
    <x v="39"/>
    <d v="1899-12-30T13:39:00"/>
    <s v="&quot;Tolong kalau punya aplikasi yg bener dong perbaikan updatenya, masa buka my XL masukin akun baru selalu alesan &quot;koneksi bermasalah&quot; sekalinya nonton yt dll, lancar jaya. Buat apa tiap minggu ada update kalau hasilnya kayak gitu.. GEBLEKK&quot;"/>
    <x v="0"/>
    <x v="0"/>
    <x v="0"/>
    <s v="-1.0"/>
    <s v="NULL"/>
    <s v="Neutral"/>
    <x v="0"/>
    <x v="1"/>
    <s v="Positif"/>
  </r>
  <r>
    <x v="551"/>
    <x v="1"/>
    <x v="39"/>
    <d v="1899-12-30T13:18:00"/>
    <s v="&quot;Woi Provider Sampah Tolol. Kuota masih kok internet nggak jalan Asu. Dipake main game kek siput jumping mulu. Provider sampah asu kek gini bisa jadi provider terlaris ke-2 lawak konyol.&quot;"/>
    <x v="0"/>
    <x v="0"/>
    <x v="0"/>
    <s v="-1.0"/>
    <s v="NULL"/>
    <s v="Neutral"/>
    <x v="0"/>
    <x v="1"/>
    <s v="Positif"/>
  </r>
  <r>
    <x v="552"/>
    <x v="4"/>
    <x v="39"/>
    <d v="1899-12-30T13:16:00"/>
    <s v="&quot;Permisi, kenapa sekarang jaringan sering eror? Padahal sinyal penuh 4G tapi pas buka game yang pake kuota tidak bisa muter&quot; terus. Tolong diperbaiki lagi masalahnya sebelum saya ganti kartu yang lebih baik terimakasih.&quot;"/>
    <x v="0"/>
    <x v="0"/>
    <x v="0"/>
    <s v="-1.0"/>
    <s v="NULL"/>
    <s v="Neutral"/>
    <x v="0"/>
    <x v="1"/>
    <s v="Positif"/>
  </r>
  <r>
    <x v="553"/>
    <x v="1"/>
    <x v="40"/>
    <d v="1899-12-30T09:52:00"/>
    <s v="&quot;Parah banget njirr XL, gw isi pulsa yang 20k,gk aktifin data pulsa gw ke ambil mana ke ambilnya 12k lagi, tinggal sisa 8k lagi, padahal gw mau beli paket game ML yang 10k,eh pas gw ngisi pulsa lagi yang 5k malah paket game ML yang 10k 10gb malah gk ada males banget gw,terpaksa dah gw beli yang 9k 3gb dan itupun cuma 7 hari,padahalkan dulu 10k 10gb 1 bulan, sumpah gw nyesel banget ama XL sekarang!&quot;"/>
    <x v="0"/>
    <x v="0"/>
    <x v="0"/>
    <s v="-1.0"/>
    <s v="NULL"/>
    <s v="Neutral"/>
    <x v="0"/>
    <x v="1"/>
    <s v="Positif"/>
  </r>
  <r>
    <x v="554"/>
    <x v="1"/>
    <x v="40"/>
    <d v="1899-12-30T09:31:00"/>
    <s v="&quot;Saya beri 1 bintang karena kenapa pulsa saya dikuras sama operator padahal saya tidak menggunakan kartu itu dan saat saya beli paket,paketnya tidak masuk tapi pulsanya yg dikuras, saya mohon agar APK di peebaiki&quot;"/>
    <x v="0"/>
    <x v="0"/>
    <x v="0"/>
    <s v="-1.0"/>
    <s v="NULL"/>
    <s v="Neutral"/>
    <x v="0"/>
    <x v="1"/>
    <s v="Positif"/>
  </r>
  <r>
    <x v="555"/>
    <x v="3"/>
    <x v="40"/>
    <d v="1899-12-30T08:32:00"/>
    <s v="&quot;Saya kecewa kemarin saya top up paket data menggunakan voucher extra combo lita. Padahal kemarin udah ada notif berhasil. Eh sekarang malah hilang. Akhirnya saya beli lagi.&quot;"/>
    <x v="0"/>
    <x v="0"/>
    <x v="0"/>
    <s v="-1.0"/>
    <s v="NULL"/>
    <s v="Positive"/>
    <x v="0"/>
    <x v="2"/>
    <s v="Positif"/>
  </r>
  <r>
    <x v="556"/>
    <x v="1"/>
    <x v="40"/>
    <d v="1899-12-30T07:17:00"/>
    <s v="&quot;Pkt Xtra UNLIMITED TURBO Premium Rp50rb Anda sudah berakhir. Cek pilihan paket menarik lainnya di aplikasi myXL. Info 817. padahal baru aja di isi lah kog Malahan ada pesan gini?&quot;"/>
    <x v="1"/>
    <x v="1"/>
    <x v="1"/>
    <s v="0.0"/>
    <s v="NULL"/>
    <s v="Neutral"/>
    <x v="1"/>
    <x v="1"/>
    <s v="Netral"/>
  </r>
  <r>
    <x v="557"/>
    <x v="0"/>
    <x v="40"/>
    <d v="1899-12-30T05:05:00"/>
    <s v="&quot;Penting untuk punya aplikasi operator untuk menunjang kemudahan pengecekan pulsa, kuota, masa aktif, promo dst. XL punya my XL untuk itu semua. Satu hal yang mendasar bagi saya, myXL belum punya fitur pengunci pulsa seperti yang dimiliki myAXIS yang notabene masih anak dari XL. Pengunci pulsa penting bagi saya karena dapat menghindari pulsa kita berkurang otomatis tanpa kita minta karena termakan data internet, promo memakai pulsa dan hal lainnya. Semoga myXL segera menyusul ini.&quot;"/>
    <x v="1"/>
    <x v="1"/>
    <x v="1"/>
    <s v="0.0"/>
    <s v="NULL"/>
    <s v="Neutral"/>
    <x v="1"/>
    <x v="1"/>
    <s v="Netral"/>
  </r>
  <r>
    <x v="558"/>
    <x v="1"/>
    <x v="40"/>
    <d v="1899-12-30T17:14:00"/>
    <s v="&quot;Setelah di update untuk masuk kembalinya susah.. Terutama untuk anak kost yang tempat kost 2lantai 3 lantai dll.. Kita di (lantai dasar) Kehalang beton lantai langsung tidak ada signal sama sekali!! Aduuh xl aku dibuat kapok langanan bulanan Ã°Å¸Ëœâ€¢&quot;"/>
    <x v="0"/>
    <x v="0"/>
    <x v="0"/>
    <s v="-1.0"/>
    <s v="NULL"/>
    <s v="Neutral"/>
    <x v="0"/>
    <x v="1"/>
    <s v="Positif"/>
  </r>
  <r>
    <x v="559"/>
    <x v="1"/>
    <x v="40"/>
    <d v="1899-12-30T15:52:00"/>
    <s v="&quot;Sekarang ini jaringan xl luar biasa lelet banget beli paket 10gb buka SW aja loadingnya lama banget, kaya pake gratisan tp kuota nya tetap boros 4 hari habis tu 10gb. Kenapa ya???&quot;"/>
    <x v="0"/>
    <x v="0"/>
    <x v="0"/>
    <s v="-1.0"/>
    <s v="NULL"/>
    <s v="Neutral"/>
    <x v="0"/>
    <x v="1"/>
    <s v="Positif"/>
  </r>
  <r>
    <x v="560"/>
    <x v="1"/>
    <x v="40"/>
    <d v="1899-12-30T14:00:00"/>
    <s v="&quot;HAK PENGGUNA HILANG!!! jaringan bapuk, salah siapa ini???? bukan cuma 1 kota, hampir smua kota keluhannya sama! Jangan yg pasca bayar aja donk, kalian tanpa kaum2 pra bayar bisa apa&quot;"/>
    <x v="0"/>
    <x v="0"/>
    <x v="0"/>
    <s v="-1.0"/>
    <s v="NULL"/>
    <s v="Positive"/>
    <x v="0"/>
    <x v="2"/>
    <s v="Positif"/>
  </r>
  <r>
    <x v="561"/>
    <x v="1"/>
    <x v="40"/>
    <d v="1899-12-30T00:23:00"/>
    <s v="&quot;Kenapa xl sekarang jaringannya lemot, ini saya kemaren pas thn baru udh 3 hari gada sinyal, udh saya coba segala cara biar dapet sinyal tapi gada hasil, tolong ya xl&quot;"/>
    <x v="0"/>
    <x v="0"/>
    <x v="0"/>
    <s v="-1.0"/>
    <s v="NULL"/>
    <s v="Neutral"/>
    <x v="0"/>
    <x v="1"/>
    <s v="Positif"/>
  </r>
  <r>
    <x v="562"/>
    <x v="0"/>
    <x v="41"/>
    <d v="1899-12-30T09:27:00"/>
    <s v="&quot;myXL sekarang udah keren... Ada pengaturan dari pemotongan pulsa krn data dan sms berbayar. Penggantian kartu hangus juga lewat app (walo blm coba sih). Tapi after all keren, ditunggu inovasi barunya lagi ya.&quot;"/>
    <x v="2"/>
    <x v="2"/>
    <x v="2"/>
    <s v="1.0"/>
    <s v="NULL"/>
    <s v="Neutral"/>
    <x v="0"/>
    <x v="1"/>
    <s v="Positif"/>
  </r>
  <r>
    <x v="563"/>
    <x v="0"/>
    <x v="41"/>
    <d v="1899-12-30T07:04:00"/>
    <s v="&quot;Saya tambah bintang 1....untuk saat ini pelayanan sinyal dan keamanan sudah cukup baik..tetapi bisa tidak ya kuota utama itu jangan ada kuota malamnya. Sebab tidak terpakai kalau malam2..yang ada ngantuk&quot;"/>
    <x v="2"/>
    <x v="2"/>
    <x v="2"/>
    <s v="1.0"/>
    <s v="NULL"/>
    <s v="Neutral"/>
    <x v="0"/>
    <x v="1"/>
    <s v="Positif"/>
  </r>
  <r>
    <x v="564"/>
    <x v="1"/>
    <x v="41"/>
    <d v="1899-12-30T21:15:00"/>
    <s v="&quot;Makin gk jelas pembagian kuota nya!! Ã°Å¸ËœË†..gua padahal ada kuota unlimited akses youtube...eh, malah ke sedot kuota utama gua pas lagi streaming youtube..trus.. fungsi kuota akses Unlimited youtube nya apa??!!!!! Kalo kuota utama nya juga ke sedot??!&quot;"/>
    <x v="0"/>
    <x v="0"/>
    <x v="0"/>
    <s v="-1.0"/>
    <s v="NULL"/>
    <s v="Neutral"/>
    <x v="0"/>
    <x v="1"/>
    <s v="Positif"/>
  </r>
  <r>
    <x v="565"/>
    <x v="3"/>
    <x v="41"/>
    <d v="1899-12-30T01:03:00"/>
    <s v="&quot;Jaringan ga stabil, tiap hari jumat sampai hari minggu jaringanya muncul cuman 6 jam, terhambat semua pekerjaan. Xl kalau mau bersaing dengan operator lain ya jaringan harus diperbaiki dulu, bukan fitur aplikasi my xl-nya.&quot;"/>
    <x v="0"/>
    <x v="0"/>
    <x v="0"/>
    <s v="-1.0"/>
    <s v="NULL"/>
    <s v="Neutral"/>
    <x v="0"/>
    <x v="1"/>
    <s v="Positif"/>
  </r>
  <r>
    <x v="566"/>
    <x v="1"/>
    <x v="41"/>
    <d v="1899-12-30T15:58:00"/>
    <s v="&quot;Kesel bgt gw sama xl.. Klo gw beli paketan yg semingguan, sinyal internet lancar, giliran gw beli yg 150giga, sinyal kaya kentut..!! Mubaziir..!! Udah bikin laporan sampe 2x ga ada perubahan.. Klo ada bintang minus, bakal gw kasih tu bintang..&quot;"/>
    <x v="0"/>
    <x v="0"/>
    <x v="0"/>
    <s v="-1.0"/>
    <s v="NULL"/>
    <s v="Neutral"/>
    <x v="0"/>
    <x v="1"/>
    <s v="Positif"/>
  </r>
  <r>
    <x v="567"/>
    <x v="1"/>
    <x v="41"/>
    <d v="1899-12-30T13:25:00"/>
    <s v="&quot;Gak berguna , asal hujan jaringan untuk beberapa hari kedepan selalu terganggu , jujur beda bener sama TELKOMSEL . Telkomsel wlwpun cuaca hujan paling lama gangguan sinyal hanya beberapa jam paling lama , jika XL sampai beberapa hari , mau TF dan lainnya susah bener internet . Gak coba2 lagi pakai XL , MENYESAL SAYA PAKAI XL !! .&quot;"/>
    <x v="0"/>
    <x v="0"/>
    <x v="0"/>
    <s v="-1.0"/>
    <s v="NULL"/>
    <s v="Neutral"/>
    <x v="0"/>
    <x v="1"/>
    <s v="Positif"/>
  </r>
  <r>
    <x v="568"/>
    <x v="3"/>
    <x v="42"/>
    <d v="1899-12-30T17:16:00"/>
    <s v="&quot;mohon maaf sebelumny. ini saya beli voucher dan dpet bonus kuota 1gb tiktok,youtube,atopun instagram. tetapi waktu saya pilih tiktok/instagram, kenapa error mulu? sedangkan waktu milih yt malah lancar jaya. apakah ini teknik marketing?&quot;"/>
    <x v="1"/>
    <x v="1"/>
    <x v="1"/>
    <s v="0.0"/>
    <s v="NULL"/>
    <s v="Positive"/>
    <x v="1"/>
    <x v="2"/>
    <s v="Netral"/>
  </r>
  <r>
    <x v="569"/>
    <x v="3"/>
    <x v="43"/>
    <d v="1899-12-30T08:15:00"/>
    <s v="&quot;Ini kenapa ya? Pdhl baru diupdate tapi 2 minggu kemudian minta diupdate lagi. Kalo engga diupdate engg bisa dipakai apk nya. Terimakasih By: Kidor&quot;"/>
    <x v="1"/>
    <x v="1"/>
    <x v="1"/>
    <s v="0.0"/>
    <s v="NULL"/>
    <s v="Neutral"/>
    <x v="1"/>
    <x v="1"/>
    <s v="Netral"/>
  </r>
  <r>
    <x v="570"/>
    <x v="1"/>
    <x v="43"/>
    <d v="1899-12-30T07:32:00"/>
    <s v="&quot;Aplikasi terus update sinyal makin lemot saya pengguna XL dari tahun 2015 dan sejak 2019 XL lebih mementingkan update aplikasi dan paket data sedangkan jaringan bukan nya makin kenceng malah makin lemot bahkan sekarang jika di bandingkan dengan smarfren lebih kenceng smarfren di bandingkan XL yang paket kuota semakin mahal tapi sinyal semakin turun jujur saya kecewa saya jadi tindak nyaman main game menggunakan kartu XL jika terus seperti ini saya akan berhenti berlangganan .&quot;"/>
    <x v="0"/>
    <x v="0"/>
    <x v="0"/>
    <s v="-1.0"/>
    <s v="NULL"/>
    <s v="Neutral"/>
    <x v="0"/>
    <x v="1"/>
    <s v="Positif"/>
  </r>
  <r>
    <x v="571"/>
    <x v="1"/>
    <x v="43"/>
    <d v="1899-12-30T04:05:00"/>
    <s v="&quot;Paket yg ditawarkan banyak jebakannya, hati hati. Kalau ada penawaran paket murah hati hati. Cukup beli 1 kali saja, soalnya terakumulasi maks 1gb&quot;"/>
    <x v="0"/>
    <x v="0"/>
    <x v="0"/>
    <s v="-1.0"/>
    <s v="NULL"/>
    <s v="Neutral"/>
    <x v="0"/>
    <x v="1"/>
    <s v="Positif"/>
  </r>
  <r>
    <x v="572"/>
    <x v="3"/>
    <x v="43"/>
    <d v="1899-12-30T11:41:00"/>
    <s v="&quot;ketika membeli paket yg sama utk memperpanjang kenapa sisa paket yg terdahulu dihabiskan dulu baru kuota yg baru ini aplikasi myXL yg agak error ato gmn ya ada yg bs bantu jelaskan???&quot;"/>
    <x v="1"/>
    <x v="1"/>
    <x v="1"/>
    <s v="0.0"/>
    <s v="NULL"/>
    <s v="Negative"/>
    <x v="1"/>
    <x v="0"/>
    <s v="Netral"/>
  </r>
  <r>
    <x v="573"/>
    <x v="2"/>
    <x v="44"/>
    <d v="1899-12-30T08:49:00"/>
    <s v="&quot;Hallo kk,,,saya telah melakukan isi ulang pulsa 20k,, dan membeli paket 9GB 7 hari di aplksi ini,,,kenapa kuota saya tidak dapat di gunakan??!!&quot;"/>
    <x v="1"/>
    <x v="1"/>
    <x v="1"/>
    <s v="0.0"/>
    <s v="NULL"/>
    <s v="Neutral"/>
    <x v="1"/>
    <x v="1"/>
    <s v="Netral"/>
  </r>
  <r>
    <x v="574"/>
    <x v="1"/>
    <x v="44"/>
    <d v="1899-12-30T08:26:00"/>
    <s v="&quot;Ini XL lagi kenapa yaaaaaa??? Saya mau transfer pulsa/paketan ke anak saya di jakarta malah eror teruuussssss padahal masa aktif masih lamaaaa!!! Mohon di perbaiki secepatnyaaaaa!!!&quot;"/>
    <x v="1"/>
    <x v="1"/>
    <x v="1"/>
    <s v="0.0"/>
    <s v="NULL"/>
    <s v="Neutral"/>
    <x v="1"/>
    <x v="1"/>
    <s v="Netral"/>
  </r>
  <r>
    <x v="575"/>
    <x v="1"/>
    <x v="44"/>
    <d v="1899-12-30T06:11:00"/>
    <s v="&quot;Pelayanan buruk, live chat juga tidak dapat memberikan solusi terkait masalah yang dihadapi oleh konsumen, saya tidak bisa mengaktivasi paket dan disuruh registrasi ulang, tetapi saya selalu gagal dalam melakukan registrasi ulang. Memang operator sampah, lama lama pindah juga saya ke operator lain&quot;"/>
    <x v="0"/>
    <x v="0"/>
    <x v="0"/>
    <s v="-1.0"/>
    <s v="NULL"/>
    <s v="Neutral"/>
    <x v="0"/>
    <x v="1"/>
    <s v="Positif"/>
  </r>
  <r>
    <x v="576"/>
    <x v="0"/>
    <x v="44"/>
    <d v="1899-12-30T06:04:00"/>
    <s v="&quot;Untuk aplikasi, sangat memuaskan karena sering memberi diskon kuota&quot;"/>
    <x v="3"/>
    <x v="3"/>
    <x v="3"/>
    <s v="NULL"/>
    <s v="NULL"/>
    <s v="Neutral"/>
    <x v="1"/>
    <x v="1"/>
    <s v="Netral"/>
  </r>
  <r>
    <x v="577"/>
    <x v="3"/>
    <x v="44"/>
    <d v="1899-12-30T03:52:00"/>
    <s v="&quot;XL ayo lah sinyal ku ni knapa lagi:( cape lah aku nii tiap mau maen game lag mulu, kirim HP ku ternyata jaringanya, kirim game nya ternyata jaringannya, uda 4g terus jadi H doang :( keburu ganti kartu lain ni ya:) ku mohon :) plisss ya ya beneran ni lah sumpah gk boong:) udah 3/ 4hnan aku pakek XL ni, dulu&quot; Gk gini ayo lahhhh:)&quot;"/>
    <x v="0"/>
    <x v="0"/>
    <x v="0"/>
    <s v="-1.0"/>
    <s v="NULL"/>
    <s v="Negative"/>
    <x v="0"/>
    <x v="0"/>
    <s v="Positif"/>
  </r>
  <r>
    <x v="578"/>
    <x v="1"/>
    <x v="44"/>
    <d v="1899-12-30T03:39:00"/>
    <s v="&quot;Uh...Halo kak,saya ingin mempertanyakan sesuatu.Saya memiliki utang 16.500 dan saya membeli pulsa 50 Tetapi pulsa saya tidak terpotong,biasa nya terpotong karena tagihan pulsa ini tidak.Apakah ada kesalahan? Saya cek penggunaan pinjaman pulsa masih ada tagihan nya.&quot;"/>
    <x v="1"/>
    <x v="1"/>
    <x v="1"/>
    <s v="0.0"/>
    <s v="NULL"/>
    <s v="Neutral"/>
    <x v="1"/>
    <x v="1"/>
    <s v="Netral"/>
  </r>
  <r>
    <x v="579"/>
    <x v="1"/>
    <x v="44"/>
    <d v="1899-12-30T20:41:00"/>
    <s v="&quot;Apk keluar sendiri mulu ga ada respawn mulu kaga jelas . mau beli paket lewat apk malah gabisa no respawn terus ujung ujung nya nyedot pulsa , paket kaga ke beli pulsa abis !!!&quot;"/>
    <x v="0"/>
    <x v="0"/>
    <x v="0"/>
    <s v="-1.0"/>
    <s v="NULL"/>
    <s v="Negative"/>
    <x v="0"/>
    <x v="0"/>
    <s v="Positif"/>
  </r>
  <r>
    <x v="580"/>
    <x v="1"/>
    <x v="44"/>
    <d v="1899-12-30T15:46:00"/>
    <s v="&quot;Xl makin lama bukan nya makin bagus malah makin buruk, gk sesuai sama selogannya.. Tolong lah dengar kami sebagai pemakai xl.. Masa kalah saing sama tsel.. Ini klo bkn karna di kantor cuma bisa jaringan xl.. Udh saya buang ni kartu xl..&quot;"/>
    <x v="0"/>
    <x v="0"/>
    <x v="0"/>
    <s v="-1.0"/>
    <s v="NULL"/>
    <s v="Neutral"/>
    <x v="0"/>
    <x v="1"/>
    <s v="Positif"/>
  </r>
  <r>
    <x v="581"/>
    <x v="1"/>
    <x v="44"/>
    <d v="1899-12-30T13:50:00"/>
    <s v="&quot;Live chat kaga guna, kaya ngomong sama robot....isi paketan dari siang blm juga masuk....pelayanan buruk, signal juga parah....kecewa.!!!!&quot;"/>
    <x v="0"/>
    <x v="0"/>
    <x v="0"/>
    <s v="-1.0"/>
    <s v="NULL"/>
    <s v="Neutral"/>
    <x v="0"/>
    <x v="1"/>
    <s v="Positif"/>
  </r>
  <r>
    <x v="582"/>
    <x v="1"/>
    <x v="44"/>
    <d v="1899-12-30T12:43:00"/>
    <s v="&quot;Lu kalau gk niat ngasih discon mending gk usah deh,Gw cek ada discon 70 gb 48 rb,trus gw isi pulsa 50 buat maketin,dah gw paketin malah dapet sms &quot;Pelanggan Setia XL,terjadi kesalahan saat aktivasi&quot; trus gw cek lagi tau tau promo nya dah ilang,jadi normal 239 rebu,parah parah,tau gini gw gk bakal ngisi pulsa&quot;"/>
    <x v="0"/>
    <x v="0"/>
    <x v="0"/>
    <s v="-1.0"/>
    <s v="NULL"/>
    <s v="Neutral"/>
    <x v="0"/>
    <x v="1"/>
    <s v="Positif"/>
  </r>
  <r>
    <x v="583"/>
    <x v="1"/>
    <x v="44"/>
    <d v="1899-12-30T12:16:00"/>
    <s v="&quot;Kartu bisa tiba-tiba blank sinyalnya. Gimana ceritanya. Lagi di pakai tiba-tiba hilang ga tau kenapa. Masa aktif masih panjang, paketan baru kepakai 20 am hari, malah blank sinyalnya. SANGAT-SANGAT TIDAK REKOMENDASI. YAAAA BUAT MAIN GAME JANGAN HARAP LANCAR. YAAAA&quot;"/>
    <x v="0"/>
    <x v="0"/>
    <x v="0"/>
    <s v="-1.0"/>
    <s v="NULL"/>
    <s v="Neutral"/>
    <x v="0"/>
    <x v="1"/>
    <s v="Positif"/>
  </r>
  <r>
    <x v="584"/>
    <x v="3"/>
    <x v="44"/>
    <d v="1899-12-30T11:34:00"/>
    <s v="&quot;Kenapa saya tidak bs membeli Kuota unlimited Extra Combo VIP plus ... Setiap klik Beli paket Tulisanya selalu tidak ada pilihan paket untuk anda. Saya coba update aplikasinya jg ttep sama. Gmn solusinya&quot;"/>
    <x v="0"/>
    <x v="0"/>
    <x v="0"/>
    <s v="-1.0"/>
    <s v="NULL"/>
    <s v="Positive"/>
    <x v="0"/>
    <x v="2"/>
    <s v="Positif"/>
  </r>
  <r>
    <x v="585"/>
    <x v="1"/>
    <x v="44"/>
    <d v="1899-12-30T11:28:00"/>
    <s v="&quot;Parah makin parah sekarang jaringan hilang hilang terus sering dapet sinyal E ....saya lagi butuh banget jaringan buat komunikasi ehh malah sinyal jelek terus...kecewa sangat kecewa...pihak xl hanya bisa minta maaf wkwkwkwk kata maaf tidak bisa menyelesaikan masalah boss...mending pindah ke Tsel dah kalo kyak gini terus&quot;"/>
    <x v="0"/>
    <x v="0"/>
    <x v="0"/>
    <s v="-1.0"/>
    <s v="NULL"/>
    <s v="Neutral"/>
    <x v="0"/>
    <x v="1"/>
    <s v="Positif"/>
  </r>
  <r>
    <x v="586"/>
    <x v="1"/>
    <x v="45"/>
    <d v="1899-12-30T07:39:00"/>
    <s v="&quot;Ga lagi2 dah langganan paket promonya dari aplikasi, harga seh murah tapi jaringan parah banget. Paket yang normal pun jaringan ga se kenceng provider tiga. Fix cukup buat telpon saja.&quot;"/>
    <x v="0"/>
    <x v="0"/>
    <x v="0"/>
    <s v="-1.0"/>
    <s v="NULL"/>
    <s v="Neutral"/>
    <x v="0"/>
    <x v="1"/>
    <s v="Positif"/>
  </r>
  <r>
    <x v="587"/>
    <x v="3"/>
    <x v="45"/>
    <d v="1899-12-30T05:57:00"/>
    <s v="&quot;Maaf mau tanya saya buka myXL mau ambil kuota unlimited gratis tapi pas di buka aplikasinya tiba-tiba muncul myXL tidak menanggapi. Kalau kendala kaya gitu gimana? Mohon bantuan nya saya mau ambil kuota unlimited gratis Terima kasih...&quot;"/>
    <x v="1"/>
    <x v="1"/>
    <x v="1"/>
    <s v="0.0"/>
    <s v="NULL"/>
    <s v="Positive"/>
    <x v="1"/>
    <x v="2"/>
    <s v="Netral"/>
  </r>
  <r>
    <x v="588"/>
    <x v="3"/>
    <x v="45"/>
    <d v="1899-12-30T03:30:00"/>
    <s v="&quot;Makin parah aja jaringan nya :( cape protes Mulu, udah sering bgt tlpn. Kalau udah bener, gak lama gtu lagiiiiii gtu lagiiiii, tlpn lagiii ,tlpn lagiii. Skrg udah malas mau protes tlpn juga, makin kacau bgt. Buka aplikasi lain langsung E, bahkan langsung Silang kadang. Pas out dari aplikasi,eh nongol lagi. Mau nya apa coba. Emang ngisi data buat apa kalau bukan buat di pakai?&quot;"/>
    <x v="0"/>
    <x v="0"/>
    <x v="0"/>
    <s v="-1.0"/>
    <s v="NULL"/>
    <s v="Negative"/>
    <x v="0"/>
    <x v="0"/>
    <s v="Positif"/>
  </r>
  <r>
    <x v="589"/>
    <x v="1"/>
    <x v="45"/>
    <d v="1899-12-30T21:14:00"/>
    <s v="&quot;myXL makin ga jelas Udah berapa kali beli paket internet selalu tidak bisa di pakai/tidak bisa digunakan. Ahirnya uang saya abis cuma buat beli paket internet terus&quot;an. Dan semalem sampe pagi ini,,saya mau beli paket internet VIP tidak bisa terus. Udah sinyalnya parah ngeleg banget. (Tolong diperbaiki dong sinyal sama jaringan nya) Saya pelanggan setia myXL masa kaya gini sih ga ada kemajuanya.&quot;"/>
    <x v="0"/>
    <x v="0"/>
    <x v="0"/>
    <s v="-1.0"/>
    <s v="NULL"/>
    <s v="Positive"/>
    <x v="0"/>
    <x v="2"/>
    <s v="Positif"/>
  </r>
  <r>
    <x v="590"/>
    <x v="4"/>
    <x v="45"/>
    <d v="1899-12-30T01:21:00"/>
    <s v="&quot;ada penarikan pulsa tanpa adanya persetujuan dari konsumen,yg seharusnya tidak terjadi karna akan merusak citra proveder XL sendiri semisal sms dari nomor 99876 dll terus adanya paket tlp harian yg tanpa adanya persetujuan dari konsumen ini uda sebagian bentuk dari kecurangan kita stop ya gak bisa karna paket harian,pada akhirnya konsumen gak lagi stok pulsa di sim card&quot;"/>
    <x v="0"/>
    <x v="0"/>
    <x v="0"/>
    <s v="-1.0"/>
    <s v="NULL"/>
    <s v="Negative"/>
    <x v="0"/>
    <x v="0"/>
    <s v="Positif"/>
  </r>
  <r>
    <x v="591"/>
    <x v="4"/>
    <x v="45"/>
    <d v="1899-12-30T01:17:00"/>
    <s v="&quot;Akhir2 ini Jaringan XL jadi kadang ilang sendiri, trus buat ngebuka beberapa aplikasi harus dimode pesawat dulu atau gk bisa masuk sama sekali. Buat masuk aplikasi XL aja gk bisa masuk, jadi kalo tiap cek info harus lewat nomor. Tolong diperbaiki, harga dinaikin ke harga yg sewajarnya gk apa2, masalah jaringan diperbaiki. Tolong ditanggapi, makasih.&quot;"/>
    <x v="1"/>
    <x v="1"/>
    <x v="1"/>
    <s v="0.0"/>
    <s v="NULL"/>
    <s v="Neutral"/>
    <x v="1"/>
    <x v="1"/>
    <s v="Netral"/>
  </r>
  <r>
    <x v="592"/>
    <x v="4"/>
    <x v="45"/>
    <d v="1899-12-30T16:26:00"/>
    <s v="&quot;Hanya saran ya,,, supaya ada pengaturan paket kuota. kan ada paket combo, hotdrod, mini, game, dll. Kalo kita punya dua paket berbeda bisa ngatur,mana dulu yang mau dipake, jadi paketnya berkurang sesuai keinginan kita, tidak ngurang sesuai tanggal beli. Kalo sesuai tgl beli, kita kan rugi, kalo kita beli paket lagi yg berbeda dari yang pertama, paket yg pertama gk bisa kepakai.&quot;"/>
    <x v="1"/>
    <x v="1"/>
    <x v="1"/>
    <s v="0.0"/>
    <s v="NULL"/>
    <s v="Neutral"/>
    <x v="1"/>
    <x v="1"/>
    <s v="Netral"/>
  </r>
  <r>
    <x v="593"/>
    <x v="1"/>
    <x v="45"/>
    <d v="1899-12-30T15:50:00"/>
    <s v="&quot;Permisi... Saya mau nanya kenapa di saat saya mau klik pilih bonus tidak ada respon dan keluar dengan kata aplikasi tidak merespon, saya Download ulang sudah saya lakukan, saya restat hp saya sudah coba, udh bebrpa kali saya coba tetap seperti itu.. Mohon balesan y&quot;"/>
    <x v="1"/>
    <x v="1"/>
    <x v="1"/>
    <s v="0.0"/>
    <s v="NULL"/>
    <s v="Positive"/>
    <x v="1"/>
    <x v="2"/>
    <s v="Netral"/>
  </r>
  <r>
    <x v="594"/>
    <x v="1"/>
    <x v="45"/>
    <d v="1899-12-30T15:19:00"/>
    <s v="&quot;Apk nya tiba tiba terhenti mendadak dan tidak merespon ketika ingin menukarkan point' dan mengklaim bonus kuota jika ingin lebih baik dari jaringan operator lain perbaiki segera agar konsumen puas&quot;"/>
    <x v="1"/>
    <x v="1"/>
    <x v="1"/>
    <s v="0.0"/>
    <s v="NULL"/>
    <s v="Positive"/>
    <x v="1"/>
    <x v="2"/>
    <s v="Netral"/>
  </r>
  <r>
    <x v="595"/>
    <x v="0"/>
    <x v="46"/>
    <d v="1899-12-30T08:55:00"/>
    <s v="&quot;Saya tdk banyak paham tentang PRIORITAS XL, karena info dr sales lewat phone cuma iya..iya..saja, tahunya terasa praktis PRIORITAS XL, kendala sekarang jika mau membayar apa bisa di Alfamart? Tolong bantu iya mas/mbak. Tks.&quot;"/>
    <x v="1"/>
    <x v="1"/>
    <x v="1"/>
    <s v="0.0"/>
    <s v="NULL"/>
    <s v="Neutral"/>
    <x v="1"/>
    <x v="1"/>
    <s v="Netral"/>
  </r>
  <r>
    <x v="596"/>
    <x v="1"/>
    <x v="46"/>
    <d v="1899-12-30T04:37:00"/>
    <s v="&quot;1-10 nilai keunggulan &amp;kekurangan card XL ,Keunggulan : dari card XL itu,buat download,streming,sosial media enak, nilai 8 ,Kekurangan :dari card XL itu,dibuat maen game jaringan buruk, nilai 2 ,Mending pakek jaringan WIFI stabil ....&quot;"/>
    <x v="1"/>
    <x v="1"/>
    <x v="1"/>
    <s v="0.0"/>
    <s v="NULL"/>
    <s v="Neutral"/>
    <x v="1"/>
    <x v="1"/>
    <s v="Netral"/>
  </r>
  <r>
    <x v="597"/>
    <x v="4"/>
    <x v="46"/>
    <d v="1899-12-30T02:18:00"/>
    <s v="&quot;Minta tolong, maya kalo di chat gak usah bertele-tele yaa.. saya bingung mau nyampein keluhan kok bonus kuota aplikasinya nggak masuk, gak bisa di klaim. Tapi si maya gak bisa kasih solusinyaÃ°Å¸â„¢Æ’&quot;"/>
    <x v="1"/>
    <x v="1"/>
    <x v="1"/>
    <s v="0.0"/>
    <s v="NULL"/>
    <s v="Positive"/>
    <x v="1"/>
    <x v="2"/>
    <s v="Netral"/>
  </r>
  <r>
    <x v="598"/>
    <x v="1"/>
    <x v="46"/>
    <d v="1899-12-30T13:53:00"/>
    <s v="&quot;sedih...dibuka susah, pdahal jaringan bagus,restart hp sudah berkali-kali... pas buka myxl baru masuk sebentar mau aktifin paket eeh tau-tau sudah keluar lagi lagi lagi dan lagi..Ã°Å¸ËœÂ£ sampe capek bolak balik terus Ã°Å¸â„¢ÂÃ°Å¸â„¢Â&quot;"/>
    <x v="0"/>
    <x v="0"/>
    <x v="0"/>
    <s v="-1.0"/>
    <s v="NULL"/>
    <s v="Neutral"/>
    <x v="0"/>
    <x v="1"/>
    <s v="Positif"/>
  </r>
  <r>
    <x v="599"/>
    <x v="3"/>
    <x v="46"/>
    <d v="1899-12-30T13:13:00"/>
    <s v="&quot;Disitu ada tulisan ambil bonus anda tapi pas saya mau ambil bonusnya ada tulisan 'Oops, terjadi kesalahan dalam proses aktivasi, silahkan tunggu beberapa saat lagi' tapi tetep aja gak bisa, tolong dong XL dibantu&quot;"/>
    <x v="1"/>
    <x v="1"/>
    <x v="1"/>
    <s v="0.0"/>
    <s v="NULL"/>
    <s v="Positive"/>
    <x v="1"/>
    <x v="2"/>
    <s v="Netral"/>
  </r>
  <r>
    <x v="600"/>
    <x v="2"/>
    <x v="46"/>
    <d v="1899-12-30T00:19:00"/>
    <s v="&quot;Terimakasih XL , semenjak saya ke gerai untuk aktifkan 4G signal kencang luar biasa.... Pekerjaan yg membutuhkan koneksi internet jadi gak terhambat..... IS THE BEST pokok nya ....Konsisten dalam pelayanan terus menerus SALAM IMPROVEMENT&quot;"/>
    <x v="2"/>
    <x v="2"/>
    <x v="2"/>
    <s v="1.0"/>
    <s v="NULL"/>
    <s v="Positive"/>
    <x v="0"/>
    <x v="2"/>
    <s v="Positif"/>
  </r>
  <r>
    <x v="601"/>
    <x v="1"/>
    <x v="47"/>
    <d v="1899-12-30T08:54:00"/>
    <s v="&quot;penangan internet XL Home selalu lambat, tiap kali internet bermasalah diminta hanya bersabar menunggu berhari2 tanpa ada visit lgsg ke lapangan. skrg aplikasi mlh gak bisa dibuka sama sekali, selalu tiba2 klr. payahh.&quot;"/>
    <x v="0"/>
    <x v="0"/>
    <x v="0"/>
    <s v="-1.0"/>
    <s v="NULL"/>
    <s v="Neutral"/>
    <x v="0"/>
    <x v="1"/>
    <s v="Positif"/>
  </r>
  <r>
    <x v="602"/>
    <x v="1"/>
    <x v="47"/>
    <d v="1899-12-30T08:12:00"/>
    <s v="&quot;Kalo buat gamers sangat tidak rekomendasi buat paket.. Yg di berikan xl mllb sama ff.. Jangan ambil yg free karna buat maen game jaringan menghubungkan tiap rank.. Mending ambil yg unlimited YouTube.. Kalo ambil yg free game.. Sangat gak jelas padahal di jaringan full .. Parah&quot;"/>
    <x v="0"/>
    <x v="0"/>
    <x v="0"/>
    <s v="-1.0"/>
    <s v="NULL"/>
    <s v="Positive"/>
    <x v="0"/>
    <x v="2"/>
    <s v="Positif"/>
  </r>
  <r>
    <x v="603"/>
    <x v="1"/>
    <x v="47"/>
    <d v="1899-12-30T07:30:00"/>
    <s v="&quot;Sangat mengecewakan , awalnya tidak pake pin ,, sekarang sudah pake pin dan dimana lagi di suruh buat pin ,,, sudah di buat pin nya .. Eh malah gagal mulu , sudah puluhan kali tapi tetep masih gagal . Bikin emosi Ã°Å¸Ëœâ€˜ . Tolong d perbaiki .&quot;"/>
    <x v="0"/>
    <x v="0"/>
    <x v="0"/>
    <s v="-1.0"/>
    <s v="NULL"/>
    <s v="Neutral"/>
    <x v="0"/>
    <x v="1"/>
    <s v="Positif"/>
  </r>
  <r>
    <x v="604"/>
    <x v="1"/>
    <x v="47"/>
    <d v="1899-12-30T02:11:00"/>
    <s v="&quot;2x pulsa kepotong (berkurang) sendiri, pertama ada keterangan nya di riwayat transaksi, yg ke 2 hilang tanpa keterangan dg nominal yg ga sedikit (menurut saya) 60k Sangat-sangat kecewa Ã°Å¸â€˜Å½Ã°Å¸â€˜Å½Ã°Å¸â€˜Å½ SAYA SUDAH MENGAKTIFKAN FITUR KONTROL PULSA JAUH SEBELUM PULSA SAYA TERPOTONG&quot;"/>
    <x v="0"/>
    <x v="0"/>
    <x v="0"/>
    <s v="-1.0"/>
    <s v="NULL"/>
    <s v="Neutral"/>
    <x v="0"/>
    <x v="1"/>
    <s v="Positif"/>
  </r>
  <r>
    <x v="605"/>
    <x v="4"/>
    <x v="47"/>
    <d v="1899-12-30T23:24:00"/>
    <s v="&quot;untuk kualitas internet sih bisa di bilang terbaik, cuma sering ada lag 3detik setetiap beberapa saat hal itu sangat mengganggu saya khususnya saat bermain game, dan di SMS ada diskon ketika saya buka *123*4*3# tidak ada diskon sama sekali.&quot;"/>
    <x v="1"/>
    <x v="1"/>
    <x v="1"/>
    <s v="0.0"/>
    <s v="NULL"/>
    <s v="Negative"/>
    <x v="1"/>
    <x v="0"/>
    <s v="Netral"/>
  </r>
  <r>
    <x v="606"/>
    <x v="1"/>
    <x v="47"/>
    <d v="1899-12-30T22:47:00"/>
    <s v="&quot;Parah ni. Masak aku pake wifi tapi pulsa tetep kesedot. Jelas banget lagi pas mau beli paket masih ada tu pulsanya giliran pas beli gagal terus tapi pulsa ikut raip.. Padahal proses aktivasi pake wifi..&quot;"/>
    <x v="0"/>
    <x v="0"/>
    <x v="0"/>
    <s v="-1.0"/>
    <s v="NULL"/>
    <s v="Neutral"/>
    <x v="0"/>
    <x v="1"/>
    <s v="Positif"/>
  </r>
  <r>
    <x v="607"/>
    <x v="1"/>
    <x v="47"/>
    <d v="1899-12-30T21:02:00"/>
    <s v="&quot;Tiap ari update terus, sementara mau menonaktifkan sesuatu eror terus. Kalo kayak gini trus pulsa dibiarin habis dulu baru isi ulang. Dari pada eror mulu....&quot;"/>
    <x v="0"/>
    <x v="0"/>
    <x v="0"/>
    <s v="-1.0"/>
    <s v="NULL"/>
    <s v="Neutral"/>
    <x v="0"/>
    <x v="1"/>
    <s v="Positif"/>
  </r>
  <r>
    <x v="608"/>
    <x v="0"/>
    <x v="47"/>
    <d v="1899-12-30T01:53:00"/>
    <s v="&quot;Kuota masih banyak, tapi seringnya lemot jaringan xl, bikin pusssiiiing...Ã°Å¸â„¢â€¹ kenapa kuota ndak akumulasi vocher extra kombo lite sisa 4 Gb, ditambah Vocher lagi baru kok 4 Gbnya gak ada? Mohon pencerahan. Trims. Dan masih sama&quot;"/>
    <x v="1"/>
    <x v="1"/>
    <x v="1"/>
    <s v="0.0"/>
    <s v="NULL"/>
    <s v="Neutral"/>
    <x v="1"/>
    <x v="1"/>
    <s v="Netral"/>
  </r>
  <r>
    <x v="609"/>
    <x v="1"/>
    <x v="47"/>
    <d v="1899-12-30T17:11:00"/>
    <s v="&quot;Udah paketan XL prioritas harusnya kouta sisa bisa ke akumulasi sama kouta baru, tapi ini malah ke reset semua, gak jelas tau gt mending gak usah pake embel&quot; kouta xl prioritas anti hangus, kouta gak ada pulsa kepotong stress lu&quot;"/>
    <x v="0"/>
    <x v="0"/>
    <x v="0"/>
    <s v="-1.0"/>
    <s v="NULL"/>
    <s v="Negative"/>
    <x v="0"/>
    <x v="0"/>
    <s v="Positif"/>
  </r>
  <r>
    <x v="610"/>
    <x v="1"/>
    <x v="47"/>
    <d v="1899-12-30T16:46:00"/>
    <s v="&quot;Terlalu sering lelet . Pulsa sering kepotong . Suka suka nenek moyang mu aja Potong pulsa . Ini namanya melanggar hak konsumen untuk menyisihkan pulsa. Mana jaringan nya lelet. XL 'Xlalu Lelet'.&quot;"/>
    <x v="0"/>
    <x v="0"/>
    <x v="0"/>
    <s v="-1.0"/>
    <s v="NULL"/>
    <s v="Positive"/>
    <x v="0"/>
    <x v="2"/>
    <s v="Positif"/>
  </r>
  <r>
    <x v="611"/>
    <x v="1"/>
    <x v="47"/>
    <d v="1899-12-30T16:39:00"/>
    <s v="&quot;Kenapa sinyal sekarang malah tambah lag dan sering sekali hilang koneksi Apakah PT XL tidak bisa mengurus semua itu Kami kecewa dengan ini saya beli paket mahalÃ‚Â² tapi apa sinyal aja jelek gini tolong sekali secepat mungkin di perbaiki terimakasih Ã°Å¸â€˜Å’ *SEMOGA DI BACA KALAU TDK BERARTI SUDAH TAK MAU LAGI MENGURUS SEMUA KOMENTAR KAMI DAN ANDA LALAI DENGAN PERTANGGUNGJAWABAN ANDA*&quot;"/>
    <x v="1"/>
    <x v="1"/>
    <x v="1"/>
    <s v="0.0"/>
    <s v="NULL"/>
    <s v="Negative"/>
    <x v="1"/>
    <x v="0"/>
    <s v="Netral"/>
  </r>
  <r>
    <x v="612"/>
    <x v="1"/>
    <x v="47"/>
    <d v="1899-12-30T16:28:00"/>
    <s v="&quot;xl kenceng bgt nyedot paket, jaringan low tapi paket cepet abis... beda bgt sama plat merah... aplikasi juga sering updateÃ‚Â² ga ad perubahan... wa juga lama bgt k'send, ga bebas browsing lagi... vendornya juga ga jelas yg manaÃ‚Â²... B.4.B.1&quot;"/>
    <x v="0"/>
    <x v="0"/>
    <x v="0"/>
    <s v="-1.0"/>
    <s v="NULL"/>
    <s v="Negative"/>
    <x v="0"/>
    <x v="0"/>
    <s v="Positif"/>
  </r>
  <r>
    <x v="613"/>
    <x v="1"/>
    <x v="47"/>
    <d v="1899-12-30T16:10:00"/>
    <s v="&quot;Sinyalnya jelek. Buat emosi kalau main game. Pokoknya jaringannya kalau bisa diperbaikin wilayah bagian berastagi. Kalau gk bisa diperbaikin. Jangan lagi dijual kartunya. Buat konsumen kecewa aja. Terima kasih. Salam dari kota berastagi kab: karo&quot;"/>
    <x v="0"/>
    <x v="0"/>
    <x v="0"/>
    <s v="-1.0"/>
    <s v="NULL"/>
    <s v="Neutral"/>
    <x v="0"/>
    <x v="1"/>
    <s v="Positif"/>
  </r>
  <r>
    <x v="614"/>
    <x v="1"/>
    <x v="47"/>
    <d v="1899-12-30T15:09:00"/>
    <s v="&quot;Maaf yah XL biarpun kartu sya dari tahun 2000 XL bebas 10 angka , tp maaf sya rasa alasan sya udh cukup bersabar selain masa tenggang yg minim serta beberapa minggu terakhir ini jaringan gk jelas , untuk YouTube sangat LANCAR tp untuk fb ig social chat massager sulit buat dibuka , entah apa yg merasukimu XLANGKAH MAU MUNDUR , sya pindah haluan dlu kesebelah si merah promonya lagi bombastis , gk kaya kamu, ku relakan nomerku 10digitku hilang bak ditelan bumi smoga XL XEMAKIN MUNDUR!&quot;"/>
    <x v="0"/>
    <x v="0"/>
    <x v="0"/>
    <s v="-1.0"/>
    <s v="NULL"/>
    <s v="Neutral"/>
    <x v="0"/>
    <x v="1"/>
    <s v="Positif"/>
  </r>
  <r>
    <x v="615"/>
    <x v="4"/>
    <x v="47"/>
    <d v="1899-12-30T14:51:00"/>
    <s v="&quot;Setiap malam dan cuaca mau hujan, pasti jaringan nya putus2. Tolong dong pihak XL di kuat kan lagi server nya, jadi tidak nyaman lagi menggunakan kuota data nya kalau setiap malam dan cuaca mau hujan jaringan server nya putus terus.&quot;"/>
    <x v="1"/>
    <x v="1"/>
    <x v="1"/>
    <s v="0.0"/>
    <s v="NULL"/>
    <s v="Neutral"/>
    <x v="1"/>
    <x v="1"/>
    <s v="Netral"/>
  </r>
  <r>
    <x v="616"/>
    <x v="1"/>
    <x v="47"/>
    <d v="1899-12-30T14:41:00"/>
    <s v="&quot;Sekarang2 suka eror ,terjadi ke salahan terus. Mohon di tingkatkan pelayanan nya. Saya gunakan my xl. Mau tambah no baru terjadi ke salahan aja.&quot;"/>
    <x v="1"/>
    <x v="1"/>
    <x v="1"/>
    <s v="0.0"/>
    <s v="NULL"/>
    <s v="Negative"/>
    <x v="1"/>
    <x v="0"/>
    <s v="Netral"/>
  </r>
  <r>
    <x v="617"/>
    <x v="2"/>
    <x v="47"/>
    <d v="1899-12-30T14:19:00"/>
    <s v="&quot;Menikmati kenyamanan sebagai pelanggan prioritas yg sinyalnya ga pernah diprioritasin. Tetep dikasi bintang lima, biar semua pegawainya bahagia, yg paling bahagia sudah pasti bos2nya.&quot;"/>
    <x v="2"/>
    <x v="2"/>
    <x v="2"/>
    <s v="1.0"/>
    <s v="NULL"/>
    <s v="Neutral"/>
    <x v="0"/>
    <x v="1"/>
    <s v="Positif"/>
  </r>
  <r>
    <x v="618"/>
    <x v="3"/>
    <x v="47"/>
    <d v="1899-12-30T13:21:00"/>
    <s v="&quot;semakin kesini, bukan nya semakin, bagus, tapi semakin buruk jaringan 4g, nya, kadang2 ngilang, kalau quota, mungkin xl termasuk murah, di banding provider lain, tapi yaitulan sinyal nya tak stabil, di daerah saya.&quot;"/>
    <x v="0"/>
    <x v="0"/>
    <x v="0"/>
    <s v="-1.0"/>
    <s v="NULL"/>
    <s v="Neutral"/>
    <x v="0"/>
    <x v="1"/>
    <s v="Positif"/>
  </r>
  <r>
    <x v="619"/>
    <x v="1"/>
    <x v="47"/>
    <d v="1899-12-30T13:13:00"/>
    <s v="&quot;Aplikasi ini gunanya buat apaan sih..???? Mau belipaket internet aj ga ada di menu pembelian... Giliran live chat jawaban ga ada yg bener.. .. Yg di tanya ap jawabannya apa... Yg betul betul lah.. Kalo bikin aplikasi... Jangan suka merugikan pelanggan sendiri.... .. Jaringan juga ga stabil buat nonton yutube juga patah 3&quot;"/>
    <x v="0"/>
    <x v="0"/>
    <x v="0"/>
    <s v="-1.0"/>
    <s v="NULL"/>
    <s v="Neutral"/>
    <x v="0"/>
    <x v="1"/>
    <s v="Positif"/>
  </r>
  <r>
    <x v="620"/>
    <x v="1"/>
    <x v="48"/>
    <d v="1899-12-30T09:51:00"/>
    <s v="&quot;Saya salah satu pengguna XL,berharap sinyal 4G yg bagus dr XL, tapi sering eror, sinyal sering jadi EDGE,.. lemoot e puoolllll,. Jadi ga iso kerja, ga bisa dapet orderan,. Trus yang di rugikan sapa ya? Kuota jug beli, ga gratis... MIKIR GA YA.. KAYAK SETINGAN SERVER E..&quot;"/>
    <x v="0"/>
    <x v="0"/>
    <x v="0"/>
    <s v="-1.0"/>
    <s v="NULL"/>
    <s v="Positive"/>
    <x v="0"/>
    <x v="2"/>
    <s v="Positif"/>
  </r>
  <r>
    <x v="621"/>
    <x v="1"/>
    <x v="48"/>
    <d v="1899-12-30T07:57:00"/>
    <s v="&quot;setelah di update aplikasi tidak bisa beroperasi dengan baik, coba lagi terus. Pulsa saya juga terkuras walaupun saya tidak menghidupkan jaringan. Sudah isi kuota tapi tidak bisa dan coba lagi terus. Mohon diperbaiki. Terimakasih banyak&quot;"/>
    <x v="1"/>
    <x v="1"/>
    <x v="1"/>
    <s v="0.0"/>
    <s v="NULL"/>
    <s v="Neutral"/>
    <x v="1"/>
    <x v="1"/>
    <s v="Netral"/>
  </r>
  <r>
    <x v="622"/>
    <x v="1"/>
    <x v="48"/>
    <d v="1899-12-30T07:53:00"/>
    <s v="&quot;Jaringan XL makin Sampah. Setiap main game online putus2. Daerah Pekanbaru XL semakin Sampah. Jangan Kalian Hapus postingan Saya ne. Perbaiki Layanan kalian. Makin parah aja jaringan kalian. Ã°Å¸ËœÂ¡Ã°Å¸ËœÂ¡ macam tinggal di hutan kita.&quot;"/>
    <x v="0"/>
    <x v="0"/>
    <x v="0"/>
    <s v="-1.0"/>
    <s v="NULL"/>
    <s v="Neutral"/>
    <x v="0"/>
    <x v="1"/>
    <s v="Positif"/>
  </r>
  <r>
    <x v="623"/>
    <x v="1"/>
    <x v="48"/>
    <d v="1899-12-30T04:31:00"/>
    <s v="&quot;Kenapa di xl store tidak ada penawaran ???????? Tulisannya Nantikan Penawaran Lainnya terrruuuusssss..... Gimana saya mau tau rincian atau detail dan informasi paket data yang mau saya beli.....????? Kalo harus dial *123# buat ada aplikasi myXL ????? Lebih baik provider sebelah, murah dan mudah..... Kita liat aja beberapa hari ke depan, klo masih ginih terus...wasalam deh..&quot;"/>
    <x v="1"/>
    <x v="1"/>
    <x v="1"/>
    <s v="0.0"/>
    <s v="NULL"/>
    <s v="Neutral"/>
    <x v="1"/>
    <x v="1"/>
    <s v="Netral"/>
  </r>
  <r>
    <x v="624"/>
    <x v="3"/>
    <x v="48"/>
    <d v="1899-12-30T04:13:00"/>
    <s v="&quot;Kenapa setelah update 5.5.8 fitur my pin tidak bisa, beli paket juga tidak bisa, bagi paket juga 5idak bisa, harus buat pin baru, sedangkan fitur tersebut erorr.&quot;"/>
    <x v="1"/>
    <x v="1"/>
    <x v="1"/>
    <s v="0.0"/>
    <s v="NULL"/>
    <s v="Neutral"/>
    <x v="1"/>
    <x v="1"/>
    <s v="Netral"/>
  </r>
  <r>
    <x v="625"/>
    <x v="3"/>
    <x v="48"/>
    <d v="1899-12-30T01:34:00"/>
    <s v="&quot;Saya sangat kecewa dengan komplain yg sengaja di blok oleh pihak XL Care supaya tidak muncul.... Pulsa saya berkurang padahal data seluler tidak diaktifkan dari sebelum top up pulsa sore hari sampai saat ini, lalu pulsa saya berkurang habis karena SMS langganan yg tidak sama sekali saya berlangganan.. parah!!! Saat saya mencoba menjelaskan kepada agen XL Care karena perpindahan beberapa agen sebumnya malah diblokir pesannya tidak muncul padahal sempat terkirim. Ã°Å¸ËœË†Ã°Å¸ËœË†Ã°Å¸ËœË†Ã°Å¸ËœË†Ã°Å¸ËœË†Ã°Å¸ËœË†Ã°Å¸ËœË†Ã°Å¸ËœË†Ã°Å¸ËœË†Ã°Å¸ËœË†Ã°Å¸ËœË†Ã°Å¸ËœË†Ã°Å¸ËœË†Ã°Å¸ËœË†Ã°Å¸ËœË†&quot;"/>
    <x v="0"/>
    <x v="0"/>
    <x v="0"/>
    <s v="-1.0"/>
    <s v="NULL"/>
    <s v="Positive"/>
    <x v="0"/>
    <x v="2"/>
    <s v="Positif"/>
  </r>
  <r>
    <x v="626"/>
    <x v="4"/>
    <x v="48"/>
    <d v="1899-12-30T17:26:00"/>
    <s v="&quot;Halo kak? Sejak pandemi sinyal my XL ko down truss ya.Sudah lama saya pakai tp baru kali ini sinyal down banget buat main!!!.Mohon diperbaiki lagi ya......Ã°Å¸â„¢Â&quot;"/>
    <x v="1"/>
    <x v="1"/>
    <x v="1"/>
    <s v="0.0"/>
    <s v="NULL"/>
    <s v="Neutral"/>
    <x v="1"/>
    <x v="1"/>
    <s v="Netral"/>
  </r>
  <r>
    <x v="627"/>
    <x v="4"/>
    <x v="48"/>
    <d v="1899-12-30T15:53:00"/>
    <s v="&quot;Hello Pt XL axiata Tbk, ini saya pengguna baru XL, dari yang saya nilai kelancaran dan kestabilan sinyal bagus saat bermain walaupun mengerjakan sesuatu, tetapi dalam hal download kok lama ya ?, Dan dalam paket kouta kok cuman terbatas per bulan maksimal nya, mohon di pertingkatkan lagi Ã°Å¸â„¢ÂÃ°Å¸â„¢Â&quot;"/>
    <x v="1"/>
    <x v="1"/>
    <x v="1"/>
    <s v="0.0"/>
    <s v="NULL"/>
    <s v="Neutral"/>
    <x v="1"/>
    <x v="1"/>
    <s v="Netral"/>
  </r>
  <r>
    <x v="628"/>
    <x v="1"/>
    <x v="48"/>
    <d v="1899-12-30T14:49:00"/>
    <s v="&quot;Ini bukan masalah jaringan..tapi masalahnya kenapa apk my xl terasa berat sudah saya katakan susah masuk untuk pindah halaman udah uninstal jg tetap sama crash melulu.. Tolonglah di perbaiki lagi sistem di apk my xl... Biar gak berat ...terima kasih&quot;"/>
    <x v="1"/>
    <x v="1"/>
    <x v="1"/>
    <s v="0.0"/>
    <s v="NULL"/>
    <s v="Negative"/>
    <x v="1"/>
    <x v="0"/>
    <s v="Netral"/>
  </r>
  <r>
    <x v="629"/>
    <x v="3"/>
    <x v="48"/>
    <d v="1899-12-30T14:30:00"/>
    <s v="&quot;Awal make xl bangga banget lancar jaya.. Tp makin ksini kok malah lelet banget sinyalnya.. Kuota masih banyak tp sering bgt ga bisa lancar make nya.. Jd ngerasa rugi beli kuota tp kek gini pas mau d pake.. KecewaÃ°Å¸ËœÂ«&quot;"/>
    <x v="0"/>
    <x v="0"/>
    <x v="0"/>
    <s v="-1.0"/>
    <s v="NULL"/>
    <s v="Neutral"/>
    <x v="0"/>
    <x v="1"/>
    <s v="Positif"/>
  </r>
  <r>
    <x v="630"/>
    <x v="3"/>
    <x v="48"/>
    <d v="1899-12-30T13:27:00"/>
    <s v="&quot;Aplikasi memburuk, saya beli kuota x-tra on 1 GB tapi loadingnya lama -+5 menitan padahal sinyal full, saya balik ke dashboard dan refresh, awal pulsa masih utuh dan kuota paket masih kosong, trs keluar dari aplikasi XL tunggu sebentar (takut udah kebeli tapi pending) tapi belum masuk masuk juga pembeliannya, akhirnya buka kembali app XL dan beli dengan paket yang sama, dan langsung berhasil, tapi dapet 2 SMS pembelian kuota pas saya cek tenyata saya melakukan 2x pembelian kan ngeselin jdi rugi&quot;"/>
    <x v="0"/>
    <x v="0"/>
    <x v="0"/>
    <s v="-1.0"/>
    <s v="NULL"/>
    <s v="Neutral"/>
    <x v="0"/>
    <x v="1"/>
    <s v="Positif"/>
  </r>
  <r>
    <x v="631"/>
    <x v="2"/>
    <x v="48"/>
    <d v="1899-12-30T12:18:00"/>
    <s v="&quot;apk nya baguz bnget,selain promo dan bonus kuota setelah isi pulsa,apk ini juga bisa top up voucher game,seperti free fire,mobile legends,codm,pubg mobile,ragnarok,dan masih bnyak lagi,harganya juga murahÃ‚Â²,pokoknya the best lah,gak nyesel download ini apk,terus kembangin apk ini ya min,tambahkan lebih banyak fitur lagi,seperti pembelian kuota xtra combo,dan diskon,semoga mimin sehat selaluÃ°Å¸â„¢ÂÃ°Å¸â€˜Â&quot;"/>
    <x v="2"/>
    <x v="2"/>
    <x v="2"/>
    <s v="1.0"/>
    <s v="NULL"/>
    <s v="Positive"/>
    <x v="0"/>
    <x v="2"/>
    <s v="Positif"/>
  </r>
  <r>
    <x v="632"/>
    <x v="1"/>
    <x v="48"/>
    <d v="1899-12-30T10:17:00"/>
    <s v="&quot;Permisi, kenapa pulsa saya terpotong setiap hari utk internet ya? Padahal saya sedang tidak menggunakan internet XL, saya mengisi pulsa agar tidak masuk masa tenggang, dan jika sudah terkumpul baru saya belikan kuota, setelah saya cek riwayat pulsa selalu terpotong setiap harinya... Kecewa sekali dengan xl, padahal saya masih ingin menggunakan nomor xl, tpi kalau seperti ini kayaknya saya biarkan masuk masa tenggang saja. Saya menulis disni karena fitur live chat sama sekali tidak membantu&quot;"/>
    <x v="1"/>
    <x v="1"/>
    <x v="1"/>
    <s v="0.0"/>
    <s v="NULL"/>
    <s v="Neutral"/>
    <x v="1"/>
    <x v="1"/>
    <s v="Netral"/>
  </r>
  <r>
    <x v="633"/>
    <x v="3"/>
    <x v="49"/>
    <d v="1899-12-30T05:32:00"/>
    <s v="&quot;kok kuota saya dari paket lain tiba2 hilang sih? padahal tanggal limitnya belum nyampe. apa emang gtu yah kalau beli paket lain otomatis paket yang lama jadi kehapus? padahal kuota saya masih adaÃ°Å¸ËœÂ­Ã°Å¸ËœÂ­Ã°Å¸ËœÂ­. mohon bantuannyaÃ°Å¸â„¢ÂÃ°Å¸ÂÂ»&quot;"/>
    <x v="1"/>
    <x v="1"/>
    <x v="1"/>
    <s v="0.0"/>
    <s v="NULL"/>
    <s v="Neutral"/>
    <x v="1"/>
    <x v="1"/>
    <s v="Netral"/>
  </r>
  <r>
    <x v="634"/>
    <x v="1"/>
    <x v="49"/>
    <d v="1899-12-30T03:56:00"/>
    <s v="&quot;Apk nya terlalu ribet hampir tiap kali buka my xl nya minta update trus, kalo buka terlalu apk nya telalu lama beda kaya apk nya kuning sama merah cepat kalo my xl susah nya minta ampun,terlalu lemot klo sama jaringan sendiri,di kasih hotspot dulu sama si merah baru bisa,ayooo dong tingkatkan lagi kualitas apk nya&quot;"/>
    <x v="0"/>
    <x v="0"/>
    <x v="0"/>
    <s v="-1.0"/>
    <s v="NULL"/>
    <s v="Neutral"/>
    <x v="0"/>
    <x v="1"/>
    <s v="Positif"/>
  </r>
  <r>
    <x v="635"/>
    <x v="1"/>
    <x v="49"/>
    <d v="1899-12-30T02:45:00"/>
    <s v="&quot;aplikasi tolol !! terus aja ada update-an tapi error terus aplikasinya ! terus2an upgrade tapi untuk check kuota aja susah !!! ngotak woi ngotak&quot;"/>
    <x v="0"/>
    <x v="0"/>
    <x v="0"/>
    <s v="-1.0"/>
    <s v="NULL"/>
    <s v="Negative"/>
    <x v="0"/>
    <x v="0"/>
    <s v="Positif"/>
  </r>
  <r>
    <x v="636"/>
    <x v="2"/>
    <x v="49"/>
    <d v="1899-12-30T15:22:00"/>
    <s v="&quot;Kenapa ya kalau saya isi pulsa dan saya matikan data seluler, tapi pulsa nya tetap berkurang saya jadi tidak bisa mengaktifkan paket data saya, satu lagi, kenapa kalau mau masuk aplikasi my xl lama banget, kecewa pakai xl.&quot;"/>
    <x v="0"/>
    <x v="0"/>
    <x v="0"/>
    <s v="-1.0"/>
    <s v="NULL"/>
    <s v="Neutral"/>
    <x v="0"/>
    <x v="1"/>
    <s v="Positif"/>
  </r>
  <r>
    <x v="637"/>
    <x v="1"/>
    <x v="49"/>
    <d v="1899-12-30T12:12:00"/>
    <s v="&quot;turut berduka cita atas matinya jaringan xl yang super lemot super busuk. beli paket buat dipake bukan buat koleksi. jaringan kaya sampah. rugi pake xl, pelayanan super busuk sangat mengecewakan.Ã°Å¸Ââ€¢&quot;"/>
    <x v="0"/>
    <x v="0"/>
    <x v="0"/>
    <s v="-1.0"/>
    <s v="NULL"/>
    <s v="Positive"/>
    <x v="0"/>
    <x v="2"/>
    <s v="Positif"/>
  </r>
  <r>
    <x v="638"/>
    <x v="2"/>
    <x v="50"/>
    <d v="1899-12-30T09:55:00"/>
    <s v="&quot;Suka banget sama UI nya !!!Ã°Å¸ËœÂÃ°Å¸ËœÂ Selalu nyaman buat pake app nya dan buat dapatin promo juga gampang karna langsung dipasang di banner Homenya. UI designnya jadi salah satu inspirasi ku buat ngerjain project UI/UX, makasih banyak sudah menginspirasi.. Kalau kendala belum ada sih dan selalu suka pake appnya&quot;"/>
    <x v="2"/>
    <x v="2"/>
    <x v="2"/>
    <s v="1.0"/>
    <s v="NULL"/>
    <s v="Neutral"/>
    <x v="0"/>
    <x v="1"/>
    <s v="Positif"/>
  </r>
  <r>
    <x v="639"/>
    <x v="4"/>
    <x v="50"/>
    <d v="1899-12-30T07:31:00"/>
    <s v="&quot;Jaringan nya lumayan bagus, tapi apk nya kok ga konek konek terus ya,saya beli kuota dan cek di kode keypad masih lumayan banyak tapi di apknya malah ga ada.&quot;"/>
    <x v="1"/>
    <x v="1"/>
    <x v="1"/>
    <s v="0.0"/>
    <s v="NULL"/>
    <s v="Neutral"/>
    <x v="1"/>
    <x v="1"/>
    <s v="Netral"/>
  </r>
  <r>
    <x v="640"/>
    <x v="4"/>
    <x v="50"/>
    <d v="1899-12-30T06:51:00"/>
    <s v="&quot;Saya punya dua kartu XL tapi sayang untuk kecepatan internet kalah jauh dengan Indosat,Mungki tempat tinggal yang mempengaruhi tapi kalau tinggalnya dikota seharusnya jaringan merata.jadi beli pulsa xl hanya buat memperperpanjang masa aktif plus buat aktivasi no WA tambahan,,,&quot;"/>
    <x v="1"/>
    <x v="1"/>
    <x v="1"/>
    <s v="0.0"/>
    <s v="NULL"/>
    <s v="Negative"/>
    <x v="1"/>
    <x v="0"/>
    <s v="Netral"/>
  </r>
  <r>
    <x v="641"/>
    <x v="1"/>
    <x v="50"/>
    <d v="1899-12-30T06:43:00"/>
    <s v="&quot;Tidak recomnded Paket game di xl. gak pernah bner..mobile data aktip,sudah di restart.. tp tetap selalu ngelag parah di tengah pertandingan mengakibatkan kerugian bagi pengguna ny...saya saran kan pindah ke paket game telkomsel jaringan normal lancar..&quot;"/>
    <x v="0"/>
    <x v="0"/>
    <x v="0"/>
    <s v="-1.0"/>
    <s v="NULL"/>
    <s v="Neutral"/>
    <x v="0"/>
    <x v="1"/>
    <s v="Positif"/>
  </r>
  <r>
    <x v="642"/>
    <x v="1"/>
    <x v="50"/>
    <d v="1899-12-30T06:19:00"/>
    <s v="&quot;Yth.Tolong diperbaiki lagi untuk layanan Kartu XL, karena sering memotong pulsa diluar paket, padahal data sudah dinonaktif. Maaf, 1 bintang dulu ya. Terima kasihÃ°Å¸â„¢Â&quot;"/>
    <x v="1"/>
    <x v="1"/>
    <x v="1"/>
    <s v="0.0"/>
    <s v="NULL"/>
    <s v="Neutral"/>
    <x v="1"/>
    <x v="1"/>
    <s v="Netral"/>
  </r>
  <r>
    <x v="643"/>
    <x v="1"/>
    <x v="50"/>
    <d v="1899-12-30T05:14:00"/>
    <s v="&quot;Kenapa ga bisa masuk ke dalam aplikasi...nama anda tinggi loh di indonesia jangan mengecewakan.saya suruh ambil bonus kuota karna isi pulsa dan di arahkan ke aplikasi ini. Tpi tidak dapat di buka kan lucu. Tolong perbaiki&quot;"/>
    <x v="0"/>
    <x v="0"/>
    <x v="0"/>
    <s v="-1.0"/>
    <s v="NULL"/>
    <s v="Positive"/>
    <x v="0"/>
    <x v="2"/>
    <s v="Positif"/>
  </r>
  <r>
    <x v="644"/>
    <x v="3"/>
    <x v="50"/>
    <d v="1899-12-30T04:00:00"/>
    <s v="&quot;Saya pakai kartu yang berkategori BIZ dan biasanya ada promo di bagian atas beranda kenapa sekarang udh tidak ada lagi, udh lama tidak ada dan biasanya ada banyak pilihan di atas beranda yang bisa saya geser , padahal saya sudah sabar sama ini kartu XL jaringan mulai susah ya itu pasti Karna iklim juga jadi berpengaruh saya sabar sampai berbulan bulan sampai sekarang ini saya pakai Karna ada kuota belajarnya yang sinyalnya masih gitu , susah&quot;"/>
    <x v="0"/>
    <x v="0"/>
    <x v="0"/>
    <s v="-1.0"/>
    <s v="NULL"/>
    <s v="Neutral"/>
    <x v="0"/>
    <x v="1"/>
    <s v="Positif"/>
  </r>
  <r>
    <x v="645"/>
    <x v="3"/>
    <x v="50"/>
    <d v="1899-12-30T22:39:00"/>
    <s v="&quot;kartu XL sangat bagus ,dan terkadang dapat promo yg sangat murah,,tetapi yang buat sya kecewa,sy tidak pernah mengaktifkan RBT,tetapi tiba2 pulsa saya dipotong&quot;"/>
    <x v="1"/>
    <x v="1"/>
    <x v="1"/>
    <s v="0.0"/>
    <s v="NULL"/>
    <s v="Neutral"/>
    <x v="1"/>
    <x v="1"/>
    <s v="Netral"/>
  </r>
  <r>
    <x v="646"/>
    <x v="1"/>
    <x v="50"/>
    <d v="1899-12-30T20:54:00"/>
    <s v="&quot;, aplikasi my XL telah terupdate ke vr 5.5.8, nomor dalam keadaan aktif, pulsa cukup tetapi masih gagal dalam pembelian paket. My XL selalu tidak respond&quot;"/>
    <x v="0"/>
    <x v="0"/>
    <x v="0"/>
    <s v="-1.0"/>
    <s v="NULL"/>
    <s v="Neutral"/>
    <x v="0"/>
    <x v="1"/>
    <s v="Positif"/>
  </r>
  <r>
    <x v="647"/>
    <x v="3"/>
    <x v="50"/>
    <d v="1899-12-30T01:57:00"/>
    <s v="&quot;Saya sudah beli paket, pas di nyalain kok ngeleg banget ya + paket nya ga berkurang, tolong diperbaiki secepat nya, BuangÃ‚Â² duit doang, dikiranya beli pake daun, dari kemaren ga aktif terus paketnya,&quot;"/>
    <x v="0"/>
    <x v="0"/>
    <x v="0"/>
    <s v="-1.0"/>
    <s v="NULL"/>
    <s v="Neutral"/>
    <x v="0"/>
    <x v="1"/>
    <s v="Positif"/>
  </r>
  <r>
    <x v="648"/>
    <x v="1"/>
    <x v="50"/>
    <d v="1899-12-30T13:10:00"/>
    <s v="&quot;Baru tau setelah install aplikasi myXL. Ternyata ada dan perlu mengaktifkan fitur agar pulsa tidak terpotong otomatis ketika menggunakan internet,SMS promo, dsb. Ini pengalaman saya, dan menurut saya ini tidak fair. Ngapain lagi beli paket tapi ketika data seluler diaktifkan, masih kepotong pulsa.&quot;"/>
    <x v="1"/>
    <x v="1"/>
    <x v="1"/>
    <s v="0.0"/>
    <s v="NULL"/>
    <s v="Positive"/>
    <x v="1"/>
    <x v="2"/>
    <s v="Netral"/>
  </r>
  <r>
    <x v="649"/>
    <x v="1"/>
    <x v="51"/>
    <d v="1899-12-30T02:57:00"/>
    <s v="&quot;Aduuuuuuhh.....ampyuuun. XL koq ancur gini jaringannya naik turun terus sinyalnya. Sampe ga pernah bisa masuk Ke myXL buat beli kuota. Krn pake aplikasi myXL yg lama bagus buat bertransaksi tp stlh ada permintaaan utk Update dgn aplikasi yg baru malah jd ancur. Toloooong dibenerin yaa....jgn sampe terus mengecewakan pelanggan.&quot;"/>
    <x v="0"/>
    <x v="0"/>
    <x v="0"/>
    <s v="-1.0"/>
    <s v="NULL"/>
    <s v="Neutral"/>
    <x v="0"/>
    <x v="1"/>
    <s v="Positif"/>
  </r>
  <r>
    <x v="650"/>
    <x v="3"/>
    <x v="51"/>
    <d v="1899-12-30T19:27:00"/>
    <s v="&quot;Cuma mau bilang, MAKASIH untuk jaringan yang selalu tidak stabil, menghilang disaat lagi butuh. Drama banget! Udah mencoba betah selama setahun ini karena sesuka itu dulu sama XL, tapi egk ada perubahan. Tolong dong, pikirkan kenyamanan penikmat jaringan anda. Gk ada hubungan sama restart!! Gk STABIL! GERAAAMMMM&quot;"/>
    <x v="0"/>
    <x v="0"/>
    <x v="0"/>
    <s v="-1.0"/>
    <s v="NULL"/>
    <s v="Neutral"/>
    <x v="0"/>
    <x v="1"/>
    <s v="Positif"/>
  </r>
  <r>
    <x v="651"/>
    <x v="1"/>
    <x v="51"/>
    <d v="1899-12-30T17:53:00"/>
    <s v="&quot;Kenapa gak bisa ganti email, walaupun sudah di ganti di profile tetap waktu verifikasi di kirim ke email lama, dan gak afa fitur nomor alternatif lagi Nb edit : Gak jelas nih cs , gak bisa dah di coba segala cara juga gak bisa, sekarang malahan gak terima verifikasi ke nomor nya sendiri malah cuma bisa SMS ke nomor alternatif saja yg dulu daftar&quot;"/>
    <x v="0"/>
    <x v="0"/>
    <x v="0"/>
    <s v="-1.0"/>
    <s v="NULL"/>
    <s v="Neutral"/>
    <x v="0"/>
    <x v="1"/>
    <s v="Positif"/>
  </r>
  <r>
    <x v="652"/>
    <x v="1"/>
    <x v="51"/>
    <d v="1899-12-30T14:39:00"/>
    <s v="&quot;Xl bener bener jaringannya lemot banget udah sebulan lebih jaringannya seperti ini tidak stabil. Udah komplain tapi tidak ada solusi untuk mengatasi masalah jaringan yang lemot. Mohon agar segera diatasi Ã°Å¸â„¢Â&quot;"/>
    <x v="1"/>
    <x v="1"/>
    <x v="1"/>
    <s v="0.0"/>
    <s v="NULL"/>
    <s v="Neutral"/>
    <x v="1"/>
    <x v="1"/>
    <s v="Netral"/>
  </r>
  <r>
    <x v="653"/>
    <x v="0"/>
    <x v="51"/>
    <d v="1899-12-30T13:38:00"/>
    <s v="&quot;Lumayan efisien untuk proses pengecekan sisa kuota internet dan pulsa utama. Namun tolong sedikit diperbaiki bug yang sering muncul lumayan lama, seperti loading keterangan paket data yang lumayan lama.&quot;"/>
    <x v="1"/>
    <x v="1"/>
    <x v="1"/>
    <s v="0.0"/>
    <s v="NULL"/>
    <s v="Neutral"/>
    <x v="1"/>
    <x v="1"/>
    <s v="Netral"/>
  </r>
  <r>
    <x v="654"/>
    <x v="2"/>
    <x v="52"/>
    <d v="1899-12-30T08:02:00"/>
    <s v="&quot;Dear XL knp akhir2 ini sinyal internet nya makin ngawur,saya sudah bantu kasih bintang 5 loh tolong solusi nya buat kami semua dan jgn suruh kunjungi situs bla2bla,mayalah dll.klo ujung2nya gk ada solusinya apa harus saya ganti provaider lain nih biar lebih enteng sinyalnya Ã°Å¸â„¢â€šÃ°Å¸â„¢ÂÃ°Å¸â„¢ÂÃ°Å¸â„¢Â&quot;"/>
    <x v="1"/>
    <x v="1"/>
    <x v="1"/>
    <s v="0.0"/>
    <s v="NULL"/>
    <s v="Positive"/>
    <x v="1"/>
    <x v="2"/>
    <s v="Netral"/>
  </r>
  <r>
    <x v="655"/>
    <x v="2"/>
    <x v="52"/>
    <d v="1899-12-30T07:10:00"/>
    <s v="&quot;Menggunakan jaringan XL,,ternyata lebih murah,pas buat bersosmed,pas buat hape android,dan juga menggunakan jaringan XL dapat membeli paket unlimited dengan harga 0 RP,,,jaringan XL mantap benar..makasih XLÃ°Å¸ËœÅ Ã°Å¸ËœÅ Ã°Å¸ËœËœ&quot;"/>
    <x v="2"/>
    <x v="2"/>
    <x v="2"/>
    <s v="1.0"/>
    <s v="NULL"/>
    <s v="Neutral"/>
    <x v="0"/>
    <x v="1"/>
    <s v="Positif"/>
  </r>
  <r>
    <x v="656"/>
    <x v="1"/>
    <x v="52"/>
    <d v="1899-12-30T06:03:00"/>
    <s v="&quot;Dulu kalau pakai XL itu selalu bagus jaringannya, tetapi akhir akhir ini XL udah ngak kaya dulu lagi. XL sekarang jaringannya susah banget, buat buka apk aja loading terus&quot;"/>
    <x v="1"/>
    <x v="1"/>
    <x v="1"/>
    <s v="0.0"/>
    <s v="NULL"/>
    <s v="Neutral"/>
    <x v="1"/>
    <x v="1"/>
    <s v="Netral"/>
  </r>
  <r>
    <x v="657"/>
    <x v="1"/>
    <x v="52"/>
    <d v="1899-12-30T05:32:00"/>
    <s v="&quot;Tolong pihak xl mohon diperbaiki masa saya pake wifi buat internet, pulsa saya habis, padahal data udah mati, cuma wifi aja yang nyala tolong lah, saya pernah habis gak jelas pulsa 50rb kasusnya sama kaya gini, mau isi pulsa takutnya kaya gini lagi, gak isi masa aktif habis&quot;"/>
    <x v="0"/>
    <x v="0"/>
    <x v="0"/>
    <s v="-1.0"/>
    <s v="NULL"/>
    <s v="Neutral"/>
    <x v="0"/>
    <x v="1"/>
    <s v="Positif"/>
  </r>
  <r>
    <x v="658"/>
    <x v="1"/>
    <x v="52"/>
    <d v="1899-12-30T02:51:00"/>
    <s v="&quot;Halo kak semoga dibalas ya Jadi signal XL di rumah ku bagus &quot; aj buat buka tik tok fb, yt bisa, kuota jg masih banyak tp buka apk my XL ini knp ngga bs ya? Trs ada tulisan coba cek koneksi trs my xl nya udah di update, hp ku jg dah di restart masi ga bisa . Tolong bantuan nya&quot;"/>
    <x v="1"/>
    <x v="1"/>
    <x v="1"/>
    <s v="0.0"/>
    <s v="NULL"/>
    <s v="Neutral"/>
    <x v="1"/>
    <x v="1"/>
    <s v="Netral"/>
  </r>
  <r>
    <x v="659"/>
    <x v="1"/>
    <x v="52"/>
    <d v="1899-12-30T02:27:00"/>
    <s v="&quot;Kak mau tanya. Saya punya 2 kartu xl. Yg 1 kartu lama sdh dipakai. Yg 1 baru beli. Knp ya kak dikartu lama itu ga muncul paket extra on 4gb. Cm samapai 2gb aja. Tp di kartu baru ada dan bisa dibeli. Lebih murah pula harganya . Apakah paket ini cm ada di kartu baru aja kah?&quot;"/>
    <x v="1"/>
    <x v="1"/>
    <x v="1"/>
    <s v="0.0"/>
    <s v="NULL"/>
    <s v="Neutral"/>
    <x v="1"/>
    <x v="1"/>
    <s v="Netral"/>
  </r>
  <r>
    <x v="660"/>
    <x v="2"/>
    <x v="52"/>
    <d v="1899-12-30T02:11:00"/>
    <s v="&quot;My XL sangat berguna sekali untuk bermain game, melihat youtube dan buat download game sangat kencang sekali. kalo bonus nya sangat bermanfaat sekali walaupun kecil bonus nya tetapi saya tidak kecewa. Terima kasih banyak XL&quot;"/>
    <x v="2"/>
    <x v="2"/>
    <x v="2"/>
    <s v="1.0"/>
    <s v="NULL"/>
    <s v="Positive"/>
    <x v="0"/>
    <x v="2"/>
    <s v="Positif"/>
  </r>
  <r>
    <x v="661"/>
    <x v="2"/>
    <x v="52"/>
    <d v="1899-12-30T23:56:00"/>
    <s v="&quot;apk nya bagus!!!!!!!!!!!!!!!!!!!!!!!!!!!!!!!!!!!!!! !!!!!!!!!!!!!!!!!!!!!!!!!!!!!!!!!!!!!!!!!!!!!!!!!!!!!!!!!!!!!!!!!!!!!!!!!!!!!!!!!!!!!!!!!!!!!!!!!!!!!!!!!!!!!!!!!!!!!!!!!!!!!!!!!!!!!!!!!!!!!!!!!!!!!!!!!!!!!!!!!!!!!!!!!!!!!!!!!!!!!!!!!!!!!!!!!!!!!!!!!!!!!!!!!!!!!!!!!!!!!!!!!!!!!!!!!!!!!!!!!!!!!!!!!!!!!!!!!!!!!!!!!!!!!!!!!!!!!!!!!!!!!!!!!!!!!!!!!!!!!!!!!!!!!!!!!!!!!!!!!!!!!!!!!!!!!!!!!!!!!&quot;"/>
    <x v="2"/>
    <x v="2"/>
    <x v="2"/>
    <s v="1.0"/>
    <s v="NULL"/>
    <s v="Neutral"/>
    <x v="0"/>
    <x v="1"/>
    <s v="Positif"/>
  </r>
  <r>
    <x v="662"/>
    <x v="1"/>
    <x v="52"/>
    <d v="1899-12-30T15:26:00"/>
    <s v="&quot;Ahir ahir ini jaringan susah banget, buat main game, nonton youtub, fb, wa susah semua Jaringan lagi kenapa, utamakan kepuasan pelanggan tolong kasih kenyamanan pada jaringan&quot;"/>
    <x v="1"/>
    <x v="1"/>
    <x v="1"/>
    <s v="0.0"/>
    <s v="NULL"/>
    <s v="Neutral"/>
    <x v="1"/>
    <x v="1"/>
    <s v="Netral"/>
  </r>
  <r>
    <x v="663"/>
    <x v="1"/>
    <x v="52"/>
    <d v="1899-12-30T15:00:00"/>
    <s v="&quot;Kecewa saya sama xl kalo begini terus tidak ada perubahan Buat browsing lambat buat sosmed lambat apa lagi main game susah banget buat conec jaringan lambat banget malah kadang hilang lagi sinyal nya... Tolong lah di perbaiki jaringanya Bagaimana ini ?&quot;"/>
    <x v="0"/>
    <x v="0"/>
    <x v="0"/>
    <s v="-1.0"/>
    <s v="NULL"/>
    <s v="Neutral"/>
    <x v="0"/>
    <x v="1"/>
    <s v="Positif"/>
  </r>
  <r>
    <x v="664"/>
    <x v="1"/>
    <x v="52"/>
    <d v="1899-12-30T14:43:00"/>
    <s v="&quot;Tau lah , akhir akhir ini susah banget di pake , gw saranin ga usah pake xl , xl yang sekarang udah rusak jaringannya , parah banget serius , biasanya juga bagus tapi akhir akhir ini ga bagus sama sekali , udah waktunya pindah kartu, udah rusak jaringan xl sekarang&quot;"/>
    <x v="0"/>
    <x v="0"/>
    <x v="0"/>
    <s v="-1.0"/>
    <s v="NULL"/>
    <s v="Neutral"/>
    <x v="0"/>
    <x v="1"/>
    <s v="Positif"/>
  </r>
  <r>
    <x v="665"/>
    <x v="1"/>
    <x v="52"/>
    <d v="1899-12-30T14:16:00"/>
    <s v="&quot;XL makin kesini bukan nya makin bagus pelayanannya malah makin jelek kuota sisa biasanya di akumulasi sekarang malah di hangusin kacau, kecew berat gue sama XL.. Hayu kita kasih bintang 1 aja biar berubah lagi kaya yang dulu yg menguntungkan costumer bukan merugikan customer..&quot;"/>
    <x v="0"/>
    <x v="0"/>
    <x v="0"/>
    <s v="-1.0"/>
    <s v="NULL"/>
    <s v="Neutral"/>
    <x v="0"/>
    <x v="1"/>
    <s v="Positif"/>
  </r>
  <r>
    <x v="666"/>
    <x v="1"/>
    <x v="52"/>
    <d v="1899-12-30T14:00:00"/>
    <s v="&quot;gw kasih bintang 5 sampe masih dengan slogan nya eXtraLemot(XL).. gw kasih bintang 1 lagi njing!!!!makasih buat 5 tahun ini eXtraLemot.. gw kasih bintang 1 lagi.. makin anjeng ni jaringan&quot;"/>
    <x v="0"/>
    <x v="0"/>
    <x v="0"/>
    <s v="-1.0"/>
    <s v="NULL"/>
    <s v="Neutral"/>
    <x v="0"/>
    <x v="1"/>
    <s v="Positif"/>
  </r>
  <r>
    <x v="667"/>
    <x v="0"/>
    <x v="52"/>
    <d v="1899-12-30T13:39:00"/>
    <s v="&quot;Provider yang oke abis, aplikasi nya ui/ux nya nyaman. Promo buat pelanggan setianya juga banyak. Saran: tolong sediakan fitur, batalkan transaksi pada riwayat transaksi. Karena kemarin mau coba top up lewat briva, tercancel karena ada 3 transaksi yang belum selesai.&quot;"/>
    <x v="2"/>
    <x v="2"/>
    <x v="2"/>
    <s v="1.0"/>
    <s v="NULL"/>
    <s v="Positive"/>
    <x v="0"/>
    <x v="2"/>
    <s v="Positif"/>
  </r>
  <r>
    <x v="668"/>
    <x v="0"/>
    <x v="53"/>
    <d v="1899-12-30T06:12:00"/>
    <s v="&quot;lebih nyaman dengan xl..karena kuota ny yang besar dan harga murah...tetapi untuk tempat disini agak kurang memadai terhadap jaringan xl yang kurang jika tidak ditaruh didinding&quot;"/>
    <x v="1"/>
    <x v="1"/>
    <x v="1"/>
    <s v="0.0"/>
    <s v="NULL"/>
    <s v="Neutral"/>
    <x v="1"/>
    <x v="1"/>
    <s v="Netral"/>
  </r>
  <r>
    <x v="669"/>
    <x v="0"/>
    <x v="53"/>
    <d v="1899-12-30T05:43:00"/>
    <s v="&quot;belum saya kasih 5 bintang. soalnya kalo malam mau cek kuota kadang suka eror, dan kalo tidak ada data seluler yg aktif juga ngga bisaa masuk . mungkin kedepannya bisa di perbaiki lagi layanannya. trimakasih&quot;"/>
    <x v="1"/>
    <x v="1"/>
    <x v="1"/>
    <s v="0.0"/>
    <s v="NULL"/>
    <s v="Neutral"/>
    <x v="1"/>
    <x v="1"/>
    <s v="Netral"/>
  </r>
  <r>
    <x v="670"/>
    <x v="1"/>
    <x v="53"/>
    <d v="1899-12-30T03:58:00"/>
    <s v="&quot;Klo ada bintang kosong mungkin pantas buat XL. Jaringan 4g klo nyalain data malah jadi 3g lemotnya minta ampun tapi kuota kesedot habis padahal buat internetan muter doang kaga jalan . Kartu perdana paling jelek menurut saya XL ini&quot;"/>
    <x v="0"/>
    <x v="0"/>
    <x v="0"/>
    <s v="-1.0"/>
    <s v="NULL"/>
    <s v="Neutral"/>
    <x v="0"/>
    <x v="1"/>
    <s v="Positif"/>
  </r>
  <r>
    <x v="671"/>
    <x v="4"/>
    <x v="53"/>
    <d v="1899-12-30T02:45:00"/>
    <s v="&quot;Katanya setiap aktivasi scan voucher dapat 1GB bonus...!! Ini masa bonus nya youtube 1gb 1 hari trus.. Trus yang bonus 1GB nya hanya iklan atau gimana . Mohon penjelasan Karna saya pemakai xl Ty&quot;"/>
    <x v="1"/>
    <x v="1"/>
    <x v="1"/>
    <s v="0.0"/>
    <s v="NULL"/>
    <s v="Positive"/>
    <x v="1"/>
    <x v="2"/>
    <s v="Netral"/>
  </r>
  <r>
    <x v="672"/>
    <x v="1"/>
    <x v="53"/>
    <d v="1899-12-30T18:54:00"/>
    <s v="&quot;mohon segera dibenahi sinyal 4G nya, kmrin saya pakai hp Xperia 4G lancar, skrg pakai hp xperia sinyal H+ trus. Kalau pakai iphone sinyal LTE , apa ada kendala di band atas ya ? Tlg sgra dibenahi. Krna udah nyoba pakai kartu 3 dan sinyal nya muncul 4G trus ,baik iphone/sony. trims semoga segera pulih sinyal Xl&quot;"/>
    <x v="1"/>
    <x v="1"/>
    <x v="1"/>
    <s v="0.0"/>
    <s v="NULL"/>
    <s v="Neutral"/>
    <x v="1"/>
    <x v="1"/>
    <s v="Netral"/>
  </r>
  <r>
    <x v="673"/>
    <x v="1"/>
    <x v="53"/>
    <d v="1899-12-30T18:45:00"/>
    <s v="&quot;Mohon dr pihak xl keluhan pengguna cepat di tanggapi , sudah sebulan sy mengalami jaringan xl yg lemot nya minta ampun , sy coba tanya ke maya , tp tdk membantu sama sekali , sy chat maya ' chat live agent ' ya begitulah ditanyai kendala kendala apa yg terjadi trus disuruh melengkapi pertanyaanÃ‚Â² yg diberikan maya , tetapi pada saat sy selesai melengkapi pertanyaanÃ‚Â² itu , kenapa pihak maya meninggalkan sesi chat??? , udah kecewa banget sy ini , jaringan lemot , chat live juga seperti itu, duh&quot;"/>
    <x v="0"/>
    <x v="0"/>
    <x v="0"/>
    <s v="-1.0"/>
    <s v="NULL"/>
    <s v="Neutral"/>
    <x v="0"/>
    <x v="1"/>
    <s v="Positif"/>
  </r>
  <r>
    <x v="674"/>
    <x v="1"/>
    <x v="53"/>
    <d v="1899-12-30T16:44:00"/>
    <s v="&quot;jaringan buruk. sudah coumplaint tiap hari selama 4 bulan tapi hasilnya nihil... paketnya murah tapi disesuain sama jaringan yg sering putus2. call 817 dan DM fb percuma. *****939291&quot;"/>
    <x v="0"/>
    <x v="0"/>
    <x v="0"/>
    <s v="-1.0"/>
    <s v="NULL"/>
    <s v="Neutral"/>
    <x v="0"/>
    <x v="1"/>
    <s v="Positif"/>
  </r>
  <r>
    <x v="675"/>
    <x v="1"/>
    <x v="53"/>
    <d v="1899-12-30T10:23:00"/>
    <s v="&quot;Izin lagi ni ada buug keknya,ni tadi barusaja saya top up di XL ya,beli UC PUBG dan tidak terkerim padahal saya sudah mengikuti prosedur yg ada ini bukti nya yg malah terkirim di sms. Selamat! Anda telah berhasil mendapatkan PUBG Mobile dari 60 UC. Voucher Anda adalah: VQLQTJ6y2t2736a1U5. CS: XL 817/AXIS 838. Nah ini yg terkirim dan nominal nya Rb15,000,walaw hanya sedikit nominal jya tapi tetap meresah kan,dan sekali lagi UC saya tidak bertambah sama sekali,jika berkenan lembalikan pulsa saya.&quot;"/>
    <x v="0"/>
    <x v="0"/>
    <x v="0"/>
    <s v="-1.0"/>
    <s v="NULL"/>
    <s v="Positive"/>
    <x v="0"/>
    <x v="2"/>
    <s v="Positif"/>
  </r>
  <r>
    <x v="676"/>
    <x v="1"/>
    <x v="53"/>
    <d v="1899-12-30T10:18:00"/>
    <s v="&quot;Sudah bagus sih, paketnya murah&quot; cuman yang jadi masalahnya hari ini kenapa waktu saya mau beli paket yang biasa saya beli kol tidak ada ya di daftar. Ayolah, saya sudha bersabar pakai ni kartu XL jaringannya sering parah lagi. Pokoknya kembalikan paket yang biasa saya beli. Udah capek&quot; isi pulsa eh malah ngecewain. KEMBALIKAN PAKET YANG BIASA SAYA BELI Makasih.&quot;"/>
    <x v="0"/>
    <x v="0"/>
    <x v="0"/>
    <s v="-1.0"/>
    <s v="NULL"/>
    <s v="Neutral"/>
    <x v="0"/>
    <x v="1"/>
    <s v="Positif"/>
  </r>
  <r>
    <x v="677"/>
    <x v="1"/>
    <x v="54"/>
    <d v="1899-12-30T09:02:00"/>
    <s v="&quot;XL makin kesini makin ga jelas,beli kouta ada bonus 2GB,bonus nya hilang entah kemana,komplain ke Maya dari myXL ga ada solusi,komplain telpon ke CS nya bilangnya ada,tapi di apk nya ga ada sama di *123# juga ga ada bonusnya....cape komplain tiap bulan masalah kaya gini trus.....&quot;"/>
    <x v="0"/>
    <x v="0"/>
    <x v="0"/>
    <s v="-1.0"/>
    <s v="NULL"/>
    <s v="Positive"/>
    <x v="0"/>
    <x v="2"/>
    <s v="Positif"/>
  </r>
  <r>
    <x v="678"/>
    <x v="0"/>
    <x v="54"/>
    <d v="1899-12-30T08:11:00"/>
    <s v="&quot;Kalau soal apk gak ada keluhan apknya bagus juga promo kuotanya lumayan memuaskan,. Tapi saya mau tanya kenapa saat jam 9 pagi sampai jam 10 pagi jaringannya selalu E?, Bukan hanya saya tapi semua teman saya mempunyai keluhan yg sama. Sekian&quot;"/>
    <x v="1"/>
    <x v="1"/>
    <x v="1"/>
    <s v="0.0"/>
    <s v="NULL"/>
    <s v="Neutral"/>
    <x v="1"/>
    <x v="1"/>
    <s v="Netral"/>
  </r>
  <r>
    <x v="679"/>
    <x v="1"/>
    <x v="54"/>
    <d v="1899-12-30T06:26:00"/>
    <s v="&quot;Kenapa kouta utama saya berkurang ketika nonton youtube. Padahal saya masih punya kouta unlimited youtube, facebook dan intragam. Dan juga sinyal xl didaerah saya sekitar semarang sering mengalami masalah sekarang padahal dulu baik baik saja. Mohon direspon...&quot;"/>
    <x v="1"/>
    <x v="1"/>
    <x v="1"/>
    <s v="0.0"/>
    <s v="NULL"/>
    <s v="Neutral"/>
    <x v="1"/>
    <x v="1"/>
    <s v="Netral"/>
  </r>
  <r>
    <x v="680"/>
    <x v="1"/>
    <x v="54"/>
    <d v="1899-12-30T05:49:00"/>
    <s v="&quot;Keluahan pengguna tolong cepat ditanggapi, sebelum saya dan teman kami di sini benar&quot; kecewa dengan pelayanan yang diberikan XL, terutama di masalah jaringan internet nya, yang lain nya sudah cukup, kami gak butuh promo kartu baru kuota besar kalau jaringan internet nya Lag/Bug kayak gini, tolong prioritaskan kami sebagai pengguan setia XL, jaga kenyamanan bersama, kami disini beli kuota dan tidak mempermasalahkan itu, kami ingin hanya di jaringan internet nya aja harus OK Ping nya tinggiÃ°Å¸â„¢ÂÃ°Å¸ÂÂ¼&quot;"/>
    <x v="1"/>
    <x v="1"/>
    <x v="1"/>
    <s v="0.0"/>
    <s v="NULL"/>
    <s v="Positive"/>
    <x v="1"/>
    <x v="2"/>
    <s v="Netral"/>
  </r>
  <r>
    <x v="681"/>
    <x v="1"/>
    <x v="54"/>
    <d v="1899-12-30T05:30:00"/>
    <s v="&quot;Kenapa sekarang signal XL makin buruk ya? Signal SOS trus, sekali nya signal 4G tapi tetap lemot, sudah dicoba restart hp, dicoba mode pesawat tetap saja hasilnya lemot. Apakah sedang ada perbaikan system atau bagaimana? Padahal sebelumnya signal selalu bagus, tolong bantuannya agar signal bagus dan cepat kembali. Lokasi saya ada di Jawa Barat kab. Subang Kec. Purwadadi Desa Purwadadi Timur Dsn. Tumaritis&quot;"/>
    <x v="0"/>
    <x v="0"/>
    <x v="0"/>
    <s v="-1.0"/>
    <s v="NULL"/>
    <s v="Neutral"/>
    <x v="0"/>
    <x v="1"/>
    <s v="Positif"/>
  </r>
  <r>
    <x v="682"/>
    <x v="1"/>
    <x v="54"/>
    <d v="1899-12-30T03:22:00"/>
    <s v="&quot;Jelek amat sih seperti nya aku akan pindah operator telkomsel aja .biar gak ribet. emang nya sinyallo kenapa jelek xl saya mohon diperbaiki...,...&quot;"/>
    <x v="0"/>
    <x v="0"/>
    <x v="0"/>
    <s v="-1.0"/>
    <s v="NULL"/>
    <s v="Neutral"/>
    <x v="0"/>
    <x v="1"/>
    <s v="Positif"/>
  </r>
  <r>
    <x v="683"/>
    <x v="1"/>
    <x v="54"/>
    <d v="1899-12-30T02:36:00"/>
    <s v="&quot;parah aplikasinya ga bisa buat daftar paket internet .....perbaiki dong aplikasinya.....kondisi udah diupdate no aktif...apalagi coba......tpi msh aja tetep ga bisa dibuka.....ampuuuuuuuun dah aaaah...aaaah&quot;"/>
    <x v="0"/>
    <x v="0"/>
    <x v="0"/>
    <s v="-1.0"/>
    <s v="NULL"/>
    <s v="Negative"/>
    <x v="0"/>
    <x v="0"/>
    <s v="Positif"/>
  </r>
  <r>
    <x v="684"/>
    <x v="1"/>
    <x v="54"/>
    <d v="1899-12-30T22:28:00"/>
    <s v="&quot;Sudah 3x saya complain dan buat laporan mengenai perihal data saya yang tidak sesuai pada aplikasi My XL namun tetap saja tidak ada perubahan dan perbaikan sama sekali.. selalu saja di infokan menunggu, clear chace, hapus data, logout, reinstall namun hasilnya tetap nihil !! Perihal semudah itu saja kenapa bisa begitu sulit sekali.. belum lagi dengan jaringan &amp; koneksi data yang selalu saja trouble.. kalau seperti ini saya jadi berfikir untuk stop saja menjadi pelanggan XL Prioritas ini !!&quot;"/>
    <x v="0"/>
    <x v="0"/>
    <x v="0"/>
    <s v="-1.0"/>
    <s v="NULL"/>
    <s v="Negative"/>
    <x v="0"/>
    <x v="0"/>
    <s v="Positif"/>
  </r>
  <r>
    <x v="685"/>
    <x v="1"/>
    <x v="54"/>
    <d v="1899-12-30T21:25:00"/>
    <s v="&quot;XL ini gimana sih saya punya pulsa 10.000 terus saya beli paket 7 hari 8800 enggak bisa bisa alasan nya gagal. Terus akhir kuota kemakan terus sampai sekarang tinggal 3000. Tolong ya XL jangan kayak gitu dong masa makanin kuota.... Parah banget .... Udah gitu paketnya mahal banget lagi. Saya kapok pake ini pulsa. Makanin kuota mulu&quot;"/>
    <x v="0"/>
    <x v="0"/>
    <x v="0"/>
    <s v="-1.0"/>
    <s v="NULL"/>
    <s v="Neutral"/>
    <x v="0"/>
    <x v="1"/>
    <s v="Positif"/>
  </r>
  <r>
    <x v="686"/>
    <x v="1"/>
    <x v="54"/>
    <d v="1899-12-30T01:53:00"/>
    <s v="&quot;xl emg gillaa . bisa2nya kmaren baru beli kuota .. skg udah gabsa kepake . tba2 ngilang . malah balik ke paket awal . gmna si iniii !!!!!!! rugiiiiiiii kalo gni caranya&quot;"/>
    <x v="0"/>
    <x v="0"/>
    <x v="0"/>
    <s v="-1.0"/>
    <s v="NULL"/>
    <s v="Neutral"/>
    <x v="0"/>
    <x v="1"/>
    <s v="Positif"/>
  </r>
  <r>
    <x v="687"/>
    <x v="1"/>
    <x v="54"/>
    <d v="1899-12-30T17:01:00"/>
    <s v="&quot;XL ancenTaikk ,gk konsisten dengan paket yg disediakan, kayak hantu aja ,kdg ada kdg gak ada , yg paket biasa aja hargany gk ngotak ,tolong kasihlah paket 1bln yg terjangkau&quot;"/>
    <x v="0"/>
    <x v="0"/>
    <x v="0"/>
    <s v="-1.0"/>
    <s v="NULL"/>
    <s v="Neutral"/>
    <x v="0"/>
    <x v="1"/>
    <s v="Positif"/>
  </r>
  <r>
    <x v="688"/>
    <x v="1"/>
    <x v="54"/>
    <d v="1899-12-30T15:15:00"/>
    <s v="&quot;dulu xl gak lemot kaya sekarang pdahal kouta baru sinya 4g tpi buat internetan lemot bnget, udah cape sama XL sinyal lemot terus,makasih ya untuk selama ini good bye,mah pindah ke yang lain aja&quot;"/>
    <x v="0"/>
    <x v="0"/>
    <x v="0"/>
    <s v="-1.0"/>
    <s v="NULL"/>
    <s v="Positive"/>
    <x v="0"/>
    <x v="2"/>
    <s v="Positif"/>
  </r>
  <r>
    <x v="689"/>
    <x v="2"/>
    <x v="54"/>
    <d v="1899-12-30T13:13:00"/>
    <s v="&quot;aplikasi sangat membantu saya dalam pengecekkan: 1. nomor telepon pribadi 2. cek pulsa mudah 3. cek masa aktif mudah 4. cek paket mudah dan simple, penjelasan kuota2nya sangat dimengerti. 5. bisa beli paket dan mudah dalam pencarian paketnya thanks XL Axiata semoga Maju Dan Jaya Xlalu&quot;"/>
    <x v="2"/>
    <x v="2"/>
    <x v="2"/>
    <s v="1.0"/>
    <s v="NULL"/>
    <s v="Positive"/>
    <x v="0"/>
    <x v="2"/>
    <s v="Positif"/>
  </r>
  <r>
    <x v="690"/>
    <x v="1"/>
    <x v="54"/>
    <d v="1899-12-30T12:16:00"/>
    <s v="&quot;Baik jaringan/signal sangat susah didaerah Tanjung Morawa Sumatera Utara...namun ketika dikota Medan gak ada masalah....artinya XL belum menjangkau setiap daerah padahal bukan dipelosok banget daerah saya ini&quot;"/>
    <x v="0"/>
    <x v="0"/>
    <x v="0"/>
    <s v="-1.0"/>
    <s v="NULL"/>
    <s v="Neutral"/>
    <x v="0"/>
    <x v="1"/>
    <s v="Positif"/>
  </r>
  <r>
    <x v="691"/>
    <x v="1"/>
    <x v="54"/>
    <d v="1899-12-30T12:15:00"/>
    <s v="&quot;XL kaya mana sih? Dulu2 lancar tanpa hambatan, sekarang saat sy malah pindah no xl malah sulit sekali jaringannya, sinyal 4G sering 2strip sj. Snga tdk nyaman dan mnghambat aktivitas sekali. Gmn nih xl solusinya?&quot;"/>
    <x v="1"/>
    <x v="1"/>
    <x v="1"/>
    <s v="0.0"/>
    <s v="NULL"/>
    <s v="Negative"/>
    <x v="1"/>
    <x v="0"/>
    <s v="Netral"/>
  </r>
  <r>
    <x v="692"/>
    <x v="1"/>
    <x v="54"/>
    <d v="1899-12-30T00:49:00"/>
    <s v="&quot;parah xL... tak bisa buka... sekali masuk ke internet jaringan internet anda di blokir. padahal baru isi. 40gb. makin ke depan makin buruk aja... jaringan juga sering urgent.... untung kaga.... rugi PASTI&quot;"/>
    <x v="0"/>
    <x v="0"/>
    <x v="0"/>
    <s v="-1.0"/>
    <s v="NULL"/>
    <s v="Positive"/>
    <x v="0"/>
    <x v="2"/>
    <s v="Positif"/>
  </r>
  <r>
    <x v="693"/>
    <x v="3"/>
    <x v="55"/>
    <d v="1899-12-30T08:39:00"/>
    <s v="&quot;Udah di update beberapa kali, tapi sampai sekarang gabisa ngambil bonus scan vocher, padahal 2bulan yang lalu selalu bisa, kenapa baru baru ini gabisa??? Udh 3 kali isi scan vocher lohhh, pen ngambil 3 bonus itu, tapi sampai sekarang tetap gabisa ... Hmm... Gimana nichhhhh ??? -,,,-&quot;"/>
    <x v="1"/>
    <x v="1"/>
    <x v="1"/>
    <s v="0.0"/>
    <s v="NULL"/>
    <s v="Positive"/>
    <x v="1"/>
    <x v="2"/>
    <s v="Netral"/>
  </r>
  <r>
    <x v="694"/>
    <x v="3"/>
    <x v="55"/>
    <d v="1899-12-30T04:56:00"/>
    <s v="&quot;Apk nya sdh bbrpa hari ini td bs digunakan. Sllu muncul tulisan &quot;myXl tdk menanggapi, bla bl bla&quot;. Sudh install ulang, restrt hp, hapus cache ttp tdk bs digunakan. Smoga bs mjd catatan untuk perbaikan kdepannya&quot;"/>
    <x v="1"/>
    <x v="1"/>
    <x v="1"/>
    <s v="0.0"/>
    <s v="NULL"/>
    <s v="Positive"/>
    <x v="1"/>
    <x v="2"/>
    <s v="Netral"/>
  </r>
  <r>
    <x v="695"/>
    <x v="4"/>
    <x v="55"/>
    <d v="1899-12-30T17:56:00"/>
    <s v="&quot;Sekarang lebih baik kak. Tp lebih stabil saat di buat koneksi haringan di H+. Untuk di kota malang daerah blimbing dan dinoyo 4G nya masih kurang stabil.&quot;"/>
    <x v="2"/>
    <x v="2"/>
    <x v="2"/>
    <s v="1.0"/>
    <s v="NULL"/>
    <s v="Neutral"/>
    <x v="0"/>
    <x v="1"/>
    <s v="Positif"/>
  </r>
  <r>
    <x v="696"/>
    <x v="1"/>
    <x v="55"/>
    <d v="1899-12-30T17:39:00"/>
    <s v="&quot;admin tolong ini aplikasi nya tidak dapat di buka,ada tulisan dalam proses perbaikan,dan saya suruh hubungi 817 katanya suruh update kok di sini gk bisa di update tolong perbaiki segeraÃ°Å¸â„¢ÂÃ°Å¸â„¢Â&quot;"/>
    <x v="0"/>
    <x v="0"/>
    <x v="0"/>
    <s v="-1.0"/>
    <s v="NULL"/>
    <s v="Neutral"/>
    <x v="0"/>
    <x v="1"/>
    <s v="Positif"/>
  </r>
  <r>
    <x v="697"/>
    <x v="1"/>
    <x v="55"/>
    <d v="1899-12-30T15:38:00"/>
    <s v="&quot;Jaringan full 4G Tapi busuk tidak mau ngangkat loading mulu. Jaringan sangat busuk di daerah ciomas bogor. Perbaikilah karna sia sia saya beli quota !!!&quot;"/>
    <x v="0"/>
    <x v="0"/>
    <x v="0"/>
    <s v="-1.0"/>
    <s v="NULL"/>
    <s v="Neutral"/>
    <x v="0"/>
    <x v="1"/>
    <s v="Positif"/>
  </r>
  <r>
    <x v="698"/>
    <x v="1"/>
    <x v="55"/>
    <d v="1899-12-30T14:59:00"/>
    <s v="&quot;Sudah 1minggu kartu XL ku sinyal nya ilang ilangan bahkan klo di rumah kaga ada sinyal tanda X klo di luar mendingan tolong dong di perbaiki untuk pihak XL, paket data banyak jadi ga kepake gara gara sinyal tanda X&quot;"/>
    <x v="0"/>
    <x v="0"/>
    <x v="0"/>
    <s v="-1.0"/>
    <s v="NULL"/>
    <s v="Neutral"/>
    <x v="0"/>
    <x v="1"/>
    <s v="Positif"/>
  </r>
  <r>
    <x v="699"/>
    <x v="2"/>
    <x v="55"/>
    <d v="1899-12-30T12:29:00"/>
    <s v="&quot;kartu XL memang kartu andalan ... ibarat pemain cadangan tp bermanfaat.. di saat Telkomsel sering ngadat dan macet jaringannya.. ampun pakai Telkomsel.. tp XL bisa menggantikan jaringan tersebut.. mantap XL.. walaupun kamu cadangan tp bermanfaat disaat yg tepat&quot;"/>
    <x v="2"/>
    <x v="2"/>
    <x v="2"/>
    <s v="1.0"/>
    <s v="NULL"/>
    <s v="Neutral"/>
    <x v="0"/>
    <x v="1"/>
    <s v="Positif"/>
  </r>
  <r>
    <x v="700"/>
    <x v="2"/>
    <x v="56"/>
    <d v="1899-12-30T08:54:00"/>
    <s v="&quot;Selama penggunaan yang sudah kurang lebih 5th saya puas, terlebih ketika ada info pengaduan masalah (dilayani dengan baik serta cepat dan tanggap).. nice good&quot;"/>
    <x v="2"/>
    <x v="2"/>
    <x v="2"/>
    <s v="1.0"/>
    <s v="NULL"/>
    <s v="Positive"/>
    <x v="0"/>
    <x v="2"/>
    <s v="Positif"/>
  </r>
  <r>
    <x v="701"/>
    <x v="1"/>
    <x v="56"/>
    <d v="1899-12-30T08:38:00"/>
    <s v="&quot;Tolong perbaiki systemnya. Paketan habis harusnya internetnya di stop jangan langsung potong pulsa. Tiba2 Pulsa sudah kesedot 10 - 20rb. Setiap ada pulsa pasti habis ga jelas&quot;"/>
    <x v="1"/>
    <x v="1"/>
    <x v="1"/>
    <s v="0.0"/>
    <s v="NULL"/>
    <s v="Negative"/>
    <x v="1"/>
    <x v="0"/>
    <s v="Netral"/>
  </r>
  <r>
    <x v="702"/>
    <x v="4"/>
    <x v="56"/>
    <d v="1899-12-30T07:21:00"/>
    <s v="&quot;Saya cukup puas dengan maya merespon tanggapan dan customer servis telp. Tetapi yang membuat saya tidak puas adalah ketika membeli plan/bosteers -prio apps bagian prio komplit selalu gagal dari apk ini. Ingin nya itu ketika beli langsung berhasil saya uda coba lebih dari 6 kali buat pembelian selalu gagal. Gak tau problem dari mana sementara beli bagian apk lain selalu berhasil dengan cepat. Saran saya yang begini harus segera di perbaiki soal pembelian supaya tdak ad lagi yng kecewa seprti saya&quot;"/>
    <x v="1"/>
    <x v="1"/>
    <x v="1"/>
    <s v="0.0"/>
    <s v="NULL"/>
    <s v="Negative"/>
    <x v="1"/>
    <x v="0"/>
    <s v="Netral"/>
  </r>
  <r>
    <x v="703"/>
    <x v="1"/>
    <x v="56"/>
    <d v="1899-12-30T06:35:00"/>
    <s v="&quot;baru 1 hari loh pake xl padahal sinyal udh enak bnget, tpi ko besok nya langsung gabisa internetan?, saya baru aja beli loh blom ada 1 minggu ga mungkin kuota saya abis&quot;"/>
    <x v="1"/>
    <x v="1"/>
    <x v="1"/>
    <s v="0.0"/>
    <s v="NULL"/>
    <s v="Neutral"/>
    <x v="1"/>
    <x v="1"/>
    <s v="Netral"/>
  </r>
  <r>
    <x v="704"/>
    <x v="4"/>
    <x v="56"/>
    <d v="1899-12-30T06:09:00"/>
    <s v="&quot;Sinyal XL kenapa selalu menurun gak seperti dulu, lancar lancar aja. Tapi sekarang malah sering lag ketika main game online. Mohon di perbaiki untuk kenyamanan pelanggan. Terima kasih&quot;"/>
    <x v="1"/>
    <x v="1"/>
    <x v="1"/>
    <s v="0.0"/>
    <s v="NULL"/>
    <s v="Negative"/>
    <x v="1"/>
    <x v="0"/>
    <s v="Netral"/>
  </r>
  <r>
    <x v="705"/>
    <x v="3"/>
    <x v="56"/>
    <d v="1899-12-30T04:53:00"/>
    <s v="&quot;Ini data saya di berhentikan kenapa yah ada orang yang tidak bertanggung jawab mengaku dari XL yang memberhentikan paket XL esktra combo 30 hari min cara biar semula lagi katanya suruh beli paketan 50ribu apa kah benar min? Gimana min cara mengembalikan paket yang terhenti?&quot;"/>
    <x v="1"/>
    <x v="1"/>
    <x v="1"/>
    <s v="0.0"/>
    <s v="NULL"/>
    <s v="Neutral"/>
    <x v="1"/>
    <x v="1"/>
    <s v="Netral"/>
  </r>
  <r>
    <x v="706"/>
    <x v="3"/>
    <x v="56"/>
    <d v="1899-12-30T17:13:00"/>
    <s v="&quot;Beberapa trakhir ini jaringan nya sering error klo sya ada d rumah .. jaringan internet nya E trus ilang , padahal sblum2 nya masih bagus .. udah hub xL care &amp; coba bbrapa cara yg d ksih tau oleh admin ny , tetep aja error .. Makin ksini , bukan nya makin bagus tpi makin gak jlas .. Mau pindah aja ke provider lain ..&quot;"/>
    <x v="0"/>
    <x v="0"/>
    <x v="0"/>
    <s v="-1.0"/>
    <s v="NULL"/>
    <s v="Negative"/>
    <x v="0"/>
    <x v="0"/>
    <s v="Positif"/>
  </r>
  <r>
    <x v="707"/>
    <x v="1"/>
    <x v="56"/>
    <d v="1899-12-30T16:20:00"/>
    <s v="&quot;Untuk beberapa bulan ini XL jaringan lemot parah tidak di mana mana pasti lemot.saya mengunakan XL SUDAH LAMA BARU BEBERAPA BULAN INI PARAH DAN LEMOT.Tolong kebijakan nya untuk jaringan tidak mengecewakan custemer nya mohon maaf apa bila ada tutur kata tidak sepantas nya.TERIMA KASIH AGAR ADA TINDAKAN UNTUK PELAYANAN NYA.&quot;"/>
    <x v="0"/>
    <x v="0"/>
    <x v="0"/>
    <s v="-1.0"/>
    <s v="NULL"/>
    <s v="Neutral"/>
    <x v="0"/>
    <x v="1"/>
    <s v="Positif"/>
  </r>
  <r>
    <x v="708"/>
    <x v="1"/>
    <x v="56"/>
    <d v="1899-12-30T15:16:00"/>
    <s v="&quot;Jelek banget, sinyal nggk pernah stabil... Minta tolong lah, kualitas sinyal internet diperbaiki lagi, masa dpake main game lngsung otomatis turun ke HSDPA atau 3G, sama aja nggk bisa dipake jalan gamenya... Pengen stay di xl karena paket yg lengkap dan cocok buat banyak orang, tpi kalo sinyal bgini harus mikir mikir lagi kayaknya&quot;"/>
    <x v="0"/>
    <x v="0"/>
    <x v="0"/>
    <s v="-1.0"/>
    <s v="NULL"/>
    <s v="Neutral"/>
    <x v="0"/>
    <x v="1"/>
    <s v="Positif"/>
  </r>
  <r>
    <x v="709"/>
    <x v="3"/>
    <x v="56"/>
    <d v="1899-12-30T14:26:00"/>
    <s v="&quot;Padahal udah lama pakai xl dan biasanya pakai paket yang dibagi 2 sama paket YouTube.. tapi kok akhirÃ‚Â² ini play diyoutube udah gak kepake kuota YouTube nya.. malah kemakan kekuota utamanya.. gimana ya pihak xl.. kan kita rugi kalo beli paket internet dan YouTube nya.. padahal tujuannya agar bisa nikmatin paket YouTube nya juga&quot;"/>
    <x v="0"/>
    <x v="0"/>
    <x v="0"/>
    <s v="-1.0"/>
    <s v="NULL"/>
    <s v="Positive"/>
    <x v="0"/>
    <x v="2"/>
    <s v="Positif"/>
  </r>
  <r>
    <x v="710"/>
    <x v="3"/>
    <x v="56"/>
    <d v="1899-12-30T13:58:00"/>
    <s v="&quot;halo ka saya mau tanya ko akhir2 ini XL kurang bagus ya saya udah beli 10 ribu buat di paketin tapi pas mau bayar pulsa saya berkurang tapi paketan nya blom masuk tolong ya di benerin XL nya TOLONG biar saya bisa menggunakan nya enak...saya udah beli pulsa tapi selalu aja ada masalahÃ°Å¸ËœÂ­Ã°Å¸ËœÂ­Ã°Å¸â„¢ÂÃ°Å¸ÂÂ»&quot;"/>
    <x v="0"/>
    <x v="0"/>
    <x v="0"/>
    <s v="-1.0"/>
    <s v="NULL"/>
    <s v="Neutral"/>
    <x v="0"/>
    <x v="1"/>
    <s v="Positif"/>
  </r>
  <r>
    <x v="711"/>
    <x v="4"/>
    <x v="57"/>
    <d v="1899-12-30T06:40:00"/>
    <s v="&quot;Over all bagus, tapi belakangan ini, sering terjadi ngebug disaat mau aktifkan paket bonusnya, sudah berulang dicoba tetap ngebug. Jadi tolong diperbaiki aja&quot;"/>
    <x v="2"/>
    <x v="2"/>
    <x v="2"/>
    <s v="1.0"/>
    <s v="NULL"/>
    <s v="Neutral"/>
    <x v="0"/>
    <x v="1"/>
    <s v="Positif"/>
  </r>
  <r>
    <x v="712"/>
    <x v="1"/>
    <x v="57"/>
    <d v="1899-12-30T18:07:00"/>
    <s v="&quot;saya dapet bonus kuota 10gb (1gb nation + 9 regional) 3 hari setelah isi 100k, karna udah dapet kuota saya gadulu beliin tuh pulsa karna udh pake pengaman pulsa biar gk kepake. setelah 5 jam saya cek pulsa syaa jd 27k astaga kesel banget asli&quot;"/>
    <x v="0"/>
    <x v="0"/>
    <x v="0"/>
    <s v="-1.0"/>
    <s v="NULL"/>
    <s v="Positive"/>
    <x v="0"/>
    <x v="2"/>
    <s v="Positif"/>
  </r>
  <r>
    <x v="713"/>
    <x v="3"/>
    <x v="57"/>
    <d v="1899-12-30T15:21:00"/>
    <s v="&quot;Apa nih maksudnya,XL? Aku beli 2x kartu perdana yang 28 GB isinya malah 18GB..biasanya gak pernah gini.. Jadi rugi gak sih ini..rugi 10 GB 2x.. Udah gitu jaringannya sekarang agak lelet akhir2 ini bikin emosi padahal jaringannya full..rasanya pengen tetep kasih bintang 2 aja..sorry tapi emang aku kesel banget..&quot;"/>
    <x v="0"/>
    <x v="0"/>
    <x v="0"/>
    <s v="-1.0"/>
    <s v="NULL"/>
    <s v="Neutral"/>
    <x v="0"/>
    <x v="1"/>
    <s v="Positif"/>
  </r>
  <r>
    <x v="714"/>
    <x v="2"/>
    <x v="57"/>
    <d v="1899-12-30T11:25:00"/>
    <s v="&quot;Woi....pindah ke live.on aja,,,,,, jaringan xlnya lebih kenceng d situ, koutanya jga lebih gede.......... Cobain dah jauh lebih murahhhhhhh... Dri pda sisa pulsa lu tau&quot; Ilang, mending beli full kouta aje................Ã°Å¸Â¤â€˜Ã°Å¸Â¤â€˜&quot;"/>
    <x v="1"/>
    <x v="1"/>
    <x v="1"/>
    <s v="0.0"/>
    <s v="NULL"/>
    <s v="Neutral"/>
    <x v="1"/>
    <x v="1"/>
    <s v="Netral"/>
  </r>
  <r>
    <x v="715"/>
    <x v="1"/>
    <x v="57"/>
    <d v="1899-12-30T00:42:00"/>
    <s v="&quot;Aplikasi merugikan. Pulsa otomatis terpotong jika tidak aktifkan kuota. Padahal saya internet pakai wifi dan paket kuota pakai provider lain. Dalam 2-4 hari pulsa dari 25rb jadi 2rb. Hati2&quot;"/>
    <x v="0"/>
    <x v="0"/>
    <x v="0"/>
    <s v="-1.0"/>
    <s v="NULL"/>
    <s v="Neutral"/>
    <x v="0"/>
    <x v="1"/>
    <s v="Positif"/>
  </r>
  <r>
    <x v="716"/>
    <x v="1"/>
    <x v="58"/>
    <d v="1899-12-30T09:42:00"/>
    <s v="&quot;XL ini nggak bagus, pantasan orang pada ganti provider lain. Akun saya sudah 2 kali diblokir sama pihak XL, padahal jatah kuota saya itu masih sampai bulan januari 2022. Bagaimana ini solusinya? Sudah bayar 700 ribu udah 2 kali blokir. Bagaimana ini solusinya???&quot;"/>
    <x v="0"/>
    <x v="0"/>
    <x v="0"/>
    <s v="-1.0"/>
    <s v="NULL"/>
    <s v="Neutral"/>
    <x v="0"/>
    <x v="1"/>
    <s v="Positif"/>
  </r>
  <r>
    <x v="717"/>
    <x v="1"/>
    <x v="58"/>
    <d v="1899-12-30T07:52:00"/>
    <s v="&quot;Deskripsi paket nya menipu! Katanya kalau beli paket yg sama sebelum masa aktif paket habis, kuota nasional diakumulasi. Sisa kuota paket saya masih 20GB an, barusan beli paket yg sama, sisa kuota akumulasi cuma 1GB??!! GIMANA INI???&quot;"/>
    <x v="0"/>
    <x v="0"/>
    <x v="0"/>
    <s v="-1.0"/>
    <s v="NULL"/>
    <s v="Neutral"/>
    <x v="0"/>
    <x v="1"/>
    <s v="Positif"/>
  </r>
  <r>
    <x v="718"/>
    <x v="3"/>
    <x v="58"/>
    <d v="1899-12-30T07:50:00"/>
    <s v="&quot;Sore... Aku kasih Ã¢Â­ÂÃ¢Â­Â. Kenapa aku kasih Ã¢Â­ÂÃ¢Â­Â, karena setiap aku beli pulsa Rp. 100.000 ke atas selalu ada potongan/berkurang pulsa. Padahal kuota saya masih banyak. Dan saya sudah coba juga di saat isi prabayar pulsa data internetnya saya matikan tetapi tetap sama Pulsa saya berkurang/terpotong..l Harusnya kalau saya boleh saran pelanggan/pengguna setia XL dikasih reward dan bonus. Bukan di kasih kekecewaan. Mungkin itu saja kritik beserta saran saya yang bisa disampaikan Terima kasih. Selamat sore&quot;"/>
    <x v="1"/>
    <x v="1"/>
    <x v="1"/>
    <s v="0.0"/>
    <s v="NULL"/>
    <s v="Positive"/>
    <x v="1"/>
    <x v="2"/>
    <s v="Netral"/>
  </r>
  <r>
    <x v="719"/>
    <x v="1"/>
    <x v="58"/>
    <d v="1899-12-30T05:57:00"/>
    <s v="&quot;Gila signal xl down terus. Bikin gw pengen berpaling ke operator lain. Padahal gw pelanggan setia xl dari jaman bebas dan jempol. Sudah berapa tahun itu min gw pake xl? Masa signal nya down terus. Mana klo telepon biasa bikin salah persepsi terus gw sama client gegara signal xl down, masa iya kudu gw nelpon wa sih ke client! Tolong dong dibenerin signalnya. Di tempat usaha gw daerah warnasari-cilegon-banten dan dirumah gw komplek pci-harjatani-banten. Tolong min&quot;"/>
    <x v="0"/>
    <x v="0"/>
    <x v="0"/>
    <s v="-1.0"/>
    <s v="NULL"/>
    <s v="Neutral"/>
    <x v="0"/>
    <x v="1"/>
    <s v="Positif"/>
  </r>
  <r>
    <x v="720"/>
    <x v="1"/>
    <x v="58"/>
    <d v="1899-12-30T05:07:00"/>
    <s v="&quot;Dasar pemborosan uang orang..membuat pelayanan yang buruk. Pulsa saya hilang dan hangus dan terpotong sampai nol. Padahal saya masih mempunyai kuota aktif. Saya sudah aktifkan fitur agr pulsa tidak tertarik penggunaan di luar. Dan malah pas saya check semua pulsa saya hangus jancokkkkk....&quot;"/>
    <x v="0"/>
    <x v="0"/>
    <x v="0"/>
    <s v="-1.0"/>
    <s v="NULL"/>
    <s v="Neutral"/>
    <x v="0"/>
    <x v="1"/>
    <s v="Positif"/>
  </r>
  <r>
    <x v="721"/>
    <x v="1"/>
    <x v="58"/>
    <d v="1899-12-30T03:18:00"/>
    <s v="&quot;Satu dulu klo bisa stengah saya kasi bintang, sinyak jelek, tidak pernah bagus, tolong di perbaiki kalo mau di kasi rate tinggi, makin lama makin ancur sinyal xl&quot;"/>
    <x v="0"/>
    <x v="0"/>
    <x v="0"/>
    <s v="-1.0"/>
    <s v="NULL"/>
    <s v="Neutral"/>
    <x v="0"/>
    <x v="1"/>
    <s v="Positif"/>
  </r>
  <r>
    <x v="722"/>
    <x v="1"/>
    <x v="58"/>
    <d v="1899-12-30T22:02:00"/>
    <s v="&quot;Pake XL PRIORITAS BEBAN BNGET BNGKE. Saldo kepotong gak jelas. Beli pulsa masuknga kmna g jelas. Hitory transaksi ga ada. Beli paket prioritas deposite masuknya kmna g jelas. Percuma paket mahal&quot; tapi nyusahin. 300k diembat Maya live chat jg gk da solusi. APK PENIPU. Aplikasi burik. Jelek banget.&quot;"/>
    <x v="0"/>
    <x v="0"/>
    <x v="0"/>
    <s v="-1.0"/>
    <s v="NULL"/>
    <s v="Neutral"/>
    <x v="0"/>
    <x v="1"/>
    <s v="Positif"/>
  </r>
  <r>
    <x v="723"/>
    <x v="1"/>
    <x v="58"/>
    <d v="1899-12-30T11:09:00"/>
    <s v="&quot;Makin ke sini makin gx jelas xl sumpah sinyal internet lemot nya minta ampun gx bisa di gunakan sama sekali padahal bru isi kuota,mode pesawat udh restart hp udh, pindah jaringan dri 2g 3g udh, ubah VPN udh,live chat MAYA PUN sudah plh gx ada respon dri maya yg bener dong masa profaider besar kayak gini sinyal nya payahh&quot;"/>
    <x v="0"/>
    <x v="0"/>
    <x v="0"/>
    <s v="-1.0"/>
    <s v="NULL"/>
    <s v="Neutral"/>
    <x v="0"/>
    <x v="1"/>
    <s v="Positif"/>
  </r>
  <r>
    <x v="724"/>
    <x v="1"/>
    <x v="59"/>
    <d v="1899-12-30T09:37:00"/>
    <s v="&quot;Pengalaman saya berdasarkan deskripsi dan penjelasan mengenai aplikasi MyXL tidak seperti yang saya duga dan tidak seperti yang saya kira. Saya membeli kartu perdana SUPER NGOBROL, dan mendapatkan bonus berupa kuota internet, dan gratis menelpon. Setelah unduh aplikasi MyXL, saya ingin mendapatkan yang lebih seperti kuota, Smartphone atau yang lainnya, terjadi kesalahan oleh si siapa??? Begitulah ulasan dari saya mengenai aplikasi MyXL yang di sediakan oleh provider XL-axiata Tbk?&quot;"/>
    <x v="1"/>
    <x v="1"/>
    <x v="1"/>
    <s v="0.0"/>
    <s v="NULL"/>
    <s v="Positive"/>
    <x v="1"/>
    <x v="2"/>
    <s v="Netral"/>
  </r>
  <r>
    <x v="725"/>
    <x v="1"/>
    <x v="59"/>
    <d v="1899-12-30T07:35:00"/>
    <s v="&quot;Jaringan XL makin ga ada harga nya,lemot banget,4g Uda tapi masi lemot, pas tes jaringan sampai 100kb,pas di coba buat youtube ga nyampe 30kb,masa sinyal 3g lebih bagus,ya bagus cuma di kecepatan unduh sama unggahan nya,ping untuk main game malah sama aja, buruknya keterlaluan,saya sudah pake cara apapun (mode pesawat, restart,dm lu ga di jawab,ganti APN,ganti ke divice lain) sama aja, sekiranya kalau di daerah saya tidak cukup sinyal maka hilangkan saja kartu jelek ini, percuma beli ga bisapkai&quot;"/>
    <x v="0"/>
    <x v="0"/>
    <x v="0"/>
    <s v="-1.0"/>
    <s v="NULL"/>
    <s v="Neutral"/>
    <x v="0"/>
    <x v="1"/>
    <s v="Positif"/>
  </r>
  <r>
    <x v="726"/>
    <x v="4"/>
    <x v="59"/>
    <d v="1899-12-30T05:30:00"/>
    <s v="&quot;Tolong di tambah dan diperhatikan pelanggan yg ada di desa...karena kadang kalo di desa diluar rumah ada sinyal..eh masuk rumah ada sinyal tapi internet gk bisa...&quot;"/>
    <x v="1"/>
    <x v="1"/>
    <x v="1"/>
    <s v="0.0"/>
    <s v="NULL"/>
    <s v="Neutral"/>
    <x v="1"/>
    <x v="1"/>
    <s v="Netral"/>
  </r>
  <r>
    <x v="727"/>
    <x v="1"/>
    <x v="59"/>
    <d v="1899-12-30T17:04:00"/>
    <s v="&quot;tolong jaringan XL, jangan ketika saya nge-game jaringan Berubah menjadi 3G ketika lihat yang Ig jaringan 4G kencang pula lagi ke racing, hp saya rusak gara&quot; jarigan anda.&quot;"/>
    <x v="0"/>
    <x v="0"/>
    <x v="0"/>
    <s v="-1.0"/>
    <s v="NULL"/>
    <s v="Neutral"/>
    <x v="0"/>
    <x v="1"/>
    <s v="Positif"/>
  </r>
  <r>
    <x v="728"/>
    <x v="3"/>
    <x v="59"/>
    <d v="1899-12-30T15:39:00"/>
    <s v="&quot;Habis update kok malah lemot &amp; force close terus ya?? Jangan suruh saya hubungi CS atau apapun. Apa gunanya kolom komentar di google play kalau tidak langsung di follow up.&quot;"/>
    <x v="0"/>
    <x v="0"/>
    <x v="0"/>
    <s v="-1.0"/>
    <s v="NULL"/>
    <s v="Positive"/>
    <x v="0"/>
    <x v="2"/>
    <s v="Positif"/>
  </r>
  <r>
    <x v="729"/>
    <x v="2"/>
    <x v="59"/>
    <d v="1899-12-30T14:46:00"/>
    <s v="&quot;Gak tau kenapa tapi akhir akhir ini pas aku mau beli kouta pasti selalu ngelag, tapi ini aplikasinya bagus kok gampang lagi jadinya beli paketan terus harganya juga terjangkau pokoknya bagus deh, cuman tolong ya kak kasi tau kenapa xl akhir akhir ini bisa lag banget pas beli kouta hehe:)&quot;"/>
    <x v="2"/>
    <x v="2"/>
    <x v="2"/>
    <s v="1.0"/>
    <s v="NULL"/>
    <s v="Negative"/>
    <x v="0"/>
    <x v="0"/>
    <s v="Positif"/>
  </r>
  <r>
    <x v="730"/>
    <x v="4"/>
    <x v="59"/>
    <d v="1899-12-30T13:54:00"/>
    <s v="&quot;Jaringan sebenernya bagus di mana tempat aku selalu 4G only. Tapi terkadang koneksi internet terputus dan sangat menganggu saat kita dalam keadaan urgent kerja, tolong di perbaiki. Terimakasih&quot;"/>
    <x v="2"/>
    <x v="2"/>
    <x v="2"/>
    <s v="1.0"/>
    <s v="NULL"/>
    <s v="Positive"/>
    <x v="0"/>
    <x v="2"/>
    <s v="Positif"/>
  </r>
  <r>
    <x v="731"/>
    <x v="1"/>
    <x v="60"/>
    <d v="1899-12-30T08:19:00"/>
    <s v="&quot;Eror gak bisa di buka , udah saya praktekin cara situ tapi tetep aja gak bisa, terus ada tulisanya &quot;aplikasi tidak menanggapi&quot; emang apk gak guna.&quot;"/>
    <x v="0"/>
    <x v="0"/>
    <x v="0"/>
    <s v="-1.0"/>
    <s v="NULL"/>
    <s v="Neutral"/>
    <x v="0"/>
    <x v="1"/>
    <s v="Positif"/>
  </r>
  <r>
    <x v="732"/>
    <x v="3"/>
    <x v="60"/>
    <d v="1899-12-30T06:39:00"/>
    <s v="&quot;Xl sebenarnya aku suka, karena di daerah ku jaringan xl lebih maju di banding Telkomsel Hanya saja saya sudah bertahun tahun pakai xl tapi bonusnya dikit amat:( Kalau telkomsel bonusnya enak, paket unlimited 7 hari harganya cuman 7 ribu Walaupun bonus telkomsel nya tdk sering muncul tapi setidaknya bisa membuat senang penggunaannya Mohon di tindak lanjuti yah&quot;"/>
    <x v="3"/>
    <x v="3"/>
    <x v="3"/>
    <s v="NULL"/>
    <s v="NULL"/>
    <s v="Positive"/>
    <x v="1"/>
    <x v="2"/>
    <s v="Netral"/>
  </r>
  <r>
    <x v="733"/>
    <x v="1"/>
    <x v="60"/>
    <d v="1899-12-30T06:36:00"/>
    <s v="&quot;ahahahhahaha dari sekian pengguna xl yang komen pernah saya alami semua. dan yang saya alami saat ini sinyal susah padahal dilokasi kabupaten, tapi kayak di daerah plosok, paling plosok terplosok apa lagi. masih tidak ada perbaikan? banyak komentar keluhan, bintang 1. paling suruh chat ke mba maya. ribet, merepotkan.&quot;"/>
    <x v="0"/>
    <x v="0"/>
    <x v="0"/>
    <s v="-1.0"/>
    <s v="NULL"/>
    <s v="Neutral"/>
    <x v="0"/>
    <x v="1"/>
    <s v="Positif"/>
  </r>
  <r>
    <x v="734"/>
    <x v="1"/>
    <x v="60"/>
    <d v="1899-12-30T06:01:00"/>
    <s v="&quot;Kenapa makin ke sini signal xl makin buruk ya?bahkan aplikasi my xl sering berhenti dengan sendirinya..bahkan pengguna xl yang lain di daerah kami juga mengeluhkan hal yg sama!!apa perlu kami pindah ke operator lain agar xl mau memperbaiki kualitasnya..!!lokasi saya ada di wilayah DIY kab bantul kec sanden kel srigading ds sangkeh.&quot;"/>
    <x v="0"/>
    <x v="0"/>
    <x v="0"/>
    <s v="-1.0"/>
    <s v="NULL"/>
    <s v="Neutral"/>
    <x v="0"/>
    <x v="1"/>
    <s v="Positif"/>
  </r>
  <r>
    <x v="735"/>
    <x v="4"/>
    <x v="60"/>
    <d v="1899-12-30T04:30:00"/>
    <s v="&quot;Kenapa xl kok selalu ganguan ya padahal ada kepentingan malah gangguan tolong dong di perbaiki lagi?????????????????????????????????????????????????????????????????????????????????????????!Ã‚Â¡!!!!!!!!!!!!!!!!!!!!!!!!!!!!!!!!!!!!!!!!!!!!!!!!!!!!!!!!!!!!!!!!!!!!!!!!!!!!!!!!!!!!!!!!!!&quot;"/>
    <x v="0"/>
    <x v="0"/>
    <x v="0"/>
    <s v="-1.0"/>
    <s v="NULL"/>
    <s v="Neutral"/>
    <x v="0"/>
    <x v="1"/>
    <s v="Positif"/>
  </r>
  <r>
    <x v="736"/>
    <x v="1"/>
    <x v="60"/>
    <d v="1899-12-30T19:12:00"/>
    <s v="&quot;Dari sekian banyak aplikasi provider cuma aplikasi ini yang login susahnya minta ampun, ada error ada mental sendiri ada muter2 aja, udah uninstal 10x trus instal lagi masih sama aja susah. Dulu juga pake aplikasi ini dan udah 1thn lebih baru pake aplikasi ini lagi masih aja tetap susah masuknya. Saya rasa aplikasi provaider lain tidak begini2 amat susahnya kalau mau login. Developernya ngapain aja?&quot;"/>
    <x v="0"/>
    <x v="0"/>
    <x v="0"/>
    <s v="-1.0"/>
    <s v="NULL"/>
    <s v="Negative"/>
    <x v="0"/>
    <x v="0"/>
    <s v="Positif"/>
  </r>
  <r>
    <x v="737"/>
    <x v="1"/>
    <x v="60"/>
    <d v="1899-12-30T18:30:00"/>
    <s v="&quot;XL penipu! Udah sering kejadian, sebelum isi pulsa banyak pilihan menu paket murah diskon eeh setelah isi pulsa menghilang tuh menu diskonnya malah berubah jadi paket SULTAN. Saya ini orang biasa bos beli paket sesuai kebutuhan dan kemampuan!&quot;"/>
    <x v="0"/>
    <x v="0"/>
    <x v="0"/>
    <s v="-1.0"/>
    <s v="NULL"/>
    <s v="Neutral"/>
    <x v="0"/>
    <x v="1"/>
    <s v="Positif"/>
  </r>
  <r>
    <x v="738"/>
    <x v="2"/>
    <x v="60"/>
    <d v="1899-12-30T17:57:00"/>
    <s v="&quot;aku kasih 5 bintang karena bagus apk nya... sangat membantu dan cepat prosesnya... nggak nyesal deh udah download... yang belum download ayo buruan download dan claim hadiah hadiahnya dari isi ulang kuota, dll... pokoknya bagus apk nya...&quot;"/>
    <x v="2"/>
    <x v="2"/>
    <x v="2"/>
    <s v="1.0"/>
    <s v="NULL"/>
    <s v="Neutral"/>
    <x v="0"/>
    <x v="1"/>
    <s v="Positif"/>
  </r>
  <r>
    <x v="739"/>
    <x v="1"/>
    <x v="60"/>
    <d v="1899-12-30T17:02:00"/>
    <s v="&quot;signal makin ga jelas,Call Center juga ga jelas,pulsa juga hilang ga jelas,entah kapan jelasnya,ayo dong XL,kamu itu faforite ku sejak aku masih ABG,kini anaku udah 3, segera lah waras. mahal tapi jelas kan masuk akallah.Ã°Å¸â„¢ÂÃ°Å¸â„¢ÂÃ°Å¸â„¢Â&quot;"/>
    <x v="0"/>
    <x v="0"/>
    <x v="0"/>
    <s v="-1.0"/>
    <s v="NULL"/>
    <s v="Neutral"/>
    <x v="0"/>
    <x v="1"/>
    <s v="Positif"/>
  </r>
  <r>
    <x v="740"/>
    <x v="2"/>
    <x v="60"/>
    <d v="1899-12-30T15:53:00"/>
    <s v="&quot;Alhamdulillah sampai saat masih cocok untuk saya...untuk sinyalnya jarang bermasalah... jangkauan pun luas... banyak pilihan pakety... harganya pun bervariasi dari yang murah sampai yang mahal...tapi tinggal sesuaikan dengan kebutuhan anda...&quot;"/>
    <x v="2"/>
    <x v="2"/>
    <x v="2"/>
    <s v="1.0"/>
    <s v="NULL"/>
    <s v="Neutral"/>
    <x v="0"/>
    <x v="1"/>
    <s v="Positif"/>
  </r>
  <r>
    <x v="741"/>
    <x v="1"/>
    <x v="60"/>
    <d v="1899-12-30T14:32:00"/>
    <s v="&quot;Sekarang XL burik, kesel bet dari tadi saya mau main game, nonton youtube atau ig lelet mulu. Emang ada masalah kah tower xlnya udah ngalamin sampe 2 bulan lag jaringannya -_-&quot;"/>
    <x v="0"/>
    <x v="0"/>
    <x v="0"/>
    <s v="-1.0"/>
    <s v="NULL"/>
    <s v="Negative"/>
    <x v="0"/>
    <x v="0"/>
    <s v="Positif"/>
  </r>
  <r>
    <x v="742"/>
    <x v="1"/>
    <x v="60"/>
    <d v="1899-12-30T13:56:00"/>
    <s v="&quot;Gw kesel sama lu lama&quot; XL. Udah jaringan ilang mulu pa lgi sabtu, minggu dah sinyal ilang . Sinyal internet juga sama. Beli kuota di my xl juga ngak bisa&quot;... Sebetulnya yg dijual ini apa sih... Sya pengguna XL yg tergolong lama dan merasa kecewaaa..... Sangattt kecewaaaaa&quot;"/>
    <x v="0"/>
    <x v="0"/>
    <x v="0"/>
    <s v="-1.0"/>
    <s v="NULL"/>
    <s v="Neutral"/>
    <x v="0"/>
    <x v="1"/>
    <s v="Positif"/>
  </r>
  <r>
    <x v="743"/>
    <x v="1"/>
    <x v="60"/>
    <d v="1899-12-30T12:06:00"/>
    <s v="&quot;X/ manis-manis banget penawaran nya tapi tidak sesuai banget yang diterima. Sore hari ini saya isi pulsa dengan tujuan memperpanjang masa aktif kartu, tertera jika mengisi pulsa 15rb akan diperpanjang 30hr. Tetapi yang saya terima hanya 20hari, setelah menghubungi costumer servis, pihak XL bilang bahwa isi pulsa 25rb baru diperpanjang 30hr. Hahaha XL SANGAT TIDAK DAPAT DIPERCAYA. XL jaringan buruk, pelayanan buruk, tidak mau tanggung jawab, bodoamatan sama konsumen. GAK AKAN MAU PAKAI XL&quot;"/>
    <x v="0"/>
    <x v="0"/>
    <x v="0"/>
    <s v="-1.0"/>
    <s v="NULL"/>
    <s v="Positive"/>
    <x v="0"/>
    <x v="2"/>
    <s v="Positif"/>
  </r>
  <r>
    <x v="744"/>
    <x v="2"/>
    <x v="60"/>
    <d v="1899-12-30T11:00:00"/>
    <s v="&quot;Fitur lebih menarik, ada pembatas pulsa agar tidak terpotong saat paket internet habis. Sekedar kritik dan saran. Setiap mau tahun baru dan setiap mau lebaran. Selalu saja trouble internet nya. Mohon kedepan nya lebih di tingkatkan lagi kualitas jaringannya. Terimakasih&quot;"/>
    <x v="2"/>
    <x v="2"/>
    <x v="2"/>
    <s v="1.0"/>
    <s v="NULL"/>
    <s v="Negative"/>
    <x v="0"/>
    <x v="0"/>
    <s v="Positif"/>
  </r>
  <r>
    <x v="745"/>
    <x v="2"/>
    <x v="60"/>
    <d v="1899-12-30T10:38:00"/>
    <s v="&quot;Aplikasinya bagus,tapi sering-sering kasih promo yang bagus dong! Jangan promonya yang paket tinggi doang, kasih kek promo yang bawah gitu!, sekitar 20k-60k biar kejangkau dengan orang-orang ekonomi pas-pasan. Sekian terimakasih. Salam Pejuang Diskon%&quot;"/>
    <x v="2"/>
    <x v="2"/>
    <x v="2"/>
    <s v="1.0"/>
    <s v="NULL"/>
    <s v="Neutral"/>
    <x v="0"/>
    <x v="1"/>
    <s v="Positif"/>
  </r>
  <r>
    <x v="746"/>
    <x v="1"/>
    <x v="61"/>
    <d v="1899-12-30T07:56:00"/>
    <s v="&quot;Sinyal XL tadi 4g kadang-kadang berubah jadi H+ gimana si XL Ini saya dah langganan XL tapi tetep aja sinyal nya ga di perbaiki, katanya XL akan mengembangkan sinyal 5g? Terus kapan itu akan di Kembang kan nya, apakah si 5g itu bagus atau sama aja kek 4g itu? Tolong jawab ya pihak xl&quot;"/>
    <x v="0"/>
    <x v="0"/>
    <x v="0"/>
    <s v="-1.0"/>
    <s v="NULL"/>
    <s v="Neutral"/>
    <x v="0"/>
    <x v="1"/>
    <s v="Positif"/>
  </r>
  <r>
    <x v="747"/>
    <x v="1"/>
    <x v="61"/>
    <d v="1899-12-30T07:51:00"/>
    <s v="&quot;Saya sangat kecewa sekali sama xl ,Tolong kepada admin Xl silahkan benarkan dulu jaringan nya jangan sampe pihak XL banyak merugikan orang lain terus ,kalian pihak xl emang untung banyak karna masyarakat disini banyak yg beli jaringan anda tapi anda memberikan kualitas jaringan yang sangat buruk kepada kami ,ingatt jangan hanya ingin untung sendiri!!!&quot;"/>
    <x v="0"/>
    <x v="0"/>
    <x v="0"/>
    <s v="-1.0"/>
    <s v="NULL"/>
    <s v="Neutral"/>
    <x v="0"/>
    <x v="1"/>
    <s v="Positif"/>
  </r>
  <r>
    <x v="748"/>
    <x v="0"/>
    <x v="61"/>
    <d v="1899-12-30T07:13:00"/>
    <s v="&quot;Aplikasi ini bagus untuk mempermudah pengisian pulsa dan paket data namun disini saya sebagai pengguna pertama kali memakai kartu perdana XL ini kadangÃ‚Â² koneksinya suka lemot padahal hp Alhamdulillaah udah support jaringan 4G namun tetep aja ketika saya di dalam ruangan maupun di dalam ruangan tetep aja jaringan nya suka lemot dan terkadang suka berubah jadi 3G serta ketika jaringan 4G pun suka lemot, mohon di tingkatan lagi mutu pelayanannya dan jaringannya&quot;"/>
    <x v="2"/>
    <x v="2"/>
    <x v="2"/>
    <s v="1.0"/>
    <s v="NULL"/>
    <s v="Positive"/>
    <x v="0"/>
    <x v="2"/>
    <s v="Positif"/>
  </r>
  <r>
    <x v="749"/>
    <x v="1"/>
    <x v="61"/>
    <d v="1899-12-30T04:27:00"/>
    <s v="&quot;uang 80rb melayang..beli kuota sinyal internet langsung gak bisa di gunain...sudah lebih dari 1 minggu tapi gak ada pulihnya internet...sangat kecewa .makan gaji buta kalau gak mampu kasih pelayanan yg baik mending hilangkan saja provider xl.&quot;"/>
    <x v="0"/>
    <x v="0"/>
    <x v="0"/>
    <s v="-1.0"/>
    <s v="NULL"/>
    <s v="Neutral"/>
    <x v="0"/>
    <x v="1"/>
    <s v="Positif"/>
  </r>
  <r>
    <x v="750"/>
    <x v="1"/>
    <x v="61"/>
    <d v="1899-12-30T01:38:00"/>
    <s v="&quot;Xl sehaaaattt ??? Kenapa aneh bgt signal nya... Data nyala tapi signal X (cakra ) gak jelas bgt ... Kdang 4G nya ilang... Kenapa ya... Tolong di perbaikiÃ°Å¸â„¢Â&quot;"/>
    <x v="0"/>
    <x v="0"/>
    <x v="0"/>
    <s v="-1.0"/>
    <s v="NULL"/>
    <s v="Neutral"/>
    <x v="0"/>
    <x v="1"/>
    <s v="Positif"/>
  </r>
  <r>
    <x v="751"/>
    <x v="1"/>
    <x v="61"/>
    <d v="1899-12-30T15:27:00"/>
    <s v="&quot;Sumpah XL busuk banget di daerah rumah gua. Unlimitednya gak bisa kepake sama sekalii. Tolong dong XL masa buat masuk app my XL harus nunggu tengah malemm. Masa kecepatan 4G sama H+ nya lebih cepat H+ sih?&quot;"/>
    <x v="0"/>
    <x v="0"/>
    <x v="0"/>
    <s v="-1.0"/>
    <s v="NULL"/>
    <s v="Neutral"/>
    <x v="0"/>
    <x v="1"/>
    <s v="Positif"/>
  </r>
  <r>
    <x v="752"/>
    <x v="1"/>
    <x v="61"/>
    <d v="1899-12-30T14:09:00"/>
    <s v="&quot;Jaringan xl gak ngotak parah! Main game selalu ping merah terus, jadi gk pernah jalan. Tolong ini jaringan diperbaiki!!! Jangan mengandalkan harga paket yang ditawarkan.&quot;"/>
    <x v="0"/>
    <x v="0"/>
    <x v="0"/>
    <s v="-1.0"/>
    <s v="NULL"/>
    <s v="Neutral"/>
    <x v="0"/>
    <x v="1"/>
    <s v="Positif"/>
  </r>
  <r>
    <x v="753"/>
    <x v="1"/>
    <x v="61"/>
    <d v="1899-12-30T14:08:00"/>
    <s v="&quot;Tolong lah!!!!!!!! developer xl,ÃƒÂ¬ni kenapa gak bisa Paketnya ini ,ku beli kuota tik tok sama ml tapi gak bisa Paketnya ini,tapi kata kalian bisa beli kuota tertentu tampa kuota utama,nyatanya gak bisanya,yang kek mana nya cuman katanya pulsa gua jadi habis sia sia beli kuota gak berguna, mohonlah buka aplikasinya myxlnya gak bisa kekmananya harus beli kuota utama Bilang-bilang lah jangan kalian tipu kami user.&quot;"/>
    <x v="0"/>
    <x v="0"/>
    <x v="0"/>
    <s v="-1.0"/>
    <s v="NULL"/>
    <s v="Neutral"/>
    <x v="0"/>
    <x v="1"/>
    <s v="Positif"/>
  </r>
  <r>
    <x v="754"/>
    <x v="1"/>
    <x v="61"/>
    <d v="1899-12-30T13:14:00"/>
    <s v="&quot;Kenapa XL merugikan para penggunax.. .awal saya baca komentar di sini sdkit tdk prcaya... Tp setelah saya membuktikan saya pakai perdana XL BENAR-BENAR KECEWA Ã°Å¸ËœÂ¤ diisi pulsa biasa disedot tiap hari katanya biaya internet padahal sebelumnya saya sdh beli paketan INTERNET XL ... . &amp; anehnya juga saya punya paket internet 1.35 Gb dg jaringan 4g yg full dan HP SAYA VIVO Y33S .. Tp dipakek bukak medsos lemot gag karuan.. .SANGAT KECEWAÃ°Å¸ËœÂ¡Ã°Å¸ËœÂ¡Ã°Å¸ËœÂ¡&quot;"/>
    <x v="0"/>
    <x v="0"/>
    <x v="0"/>
    <s v="-1.0"/>
    <s v="NULL"/>
    <s v="Negative"/>
    <x v="0"/>
    <x v="0"/>
    <s v="Positif"/>
  </r>
  <r>
    <x v="755"/>
    <x v="1"/>
    <x v="61"/>
    <d v="1899-12-30T12:48:00"/>
    <s v="&quot;Sumpah gatau kenapa jaringan XL makin kesini makin jelek koneksinya udah 4G padahal udh gitu daerah nya masuk VoLTEjuga,mau streaming video,nugas ato game jadi ngga nyaman,perasaan bulan lalu aman&quot; aja,tapi sekarang tu harus sabar (udah nyoba di restart,mode pesawat dll) tetep aja gaada perubahan,kalau cuma sekali/dua kali mah masih wajar tiba&quot; ilang sinyalnya tapi ini berkali&quot; dan hampir tiap hari.&quot;"/>
    <x v="0"/>
    <x v="0"/>
    <x v="0"/>
    <s v="-1.0"/>
    <s v="NULL"/>
    <s v="Neutral"/>
    <x v="0"/>
    <x v="1"/>
    <s v="Positif"/>
  </r>
  <r>
    <x v="756"/>
    <x v="1"/>
    <x v="61"/>
    <d v="1899-12-30T12:26:00"/>
    <s v="&quot;Sinyal gimana sih makin lama makin nambah buruk bukannya nambah bagus make kartu lain lancar ini make xl dari dlu malah nambah buruk, tolong perbaikin sinyal biar lancar lagi jangan harga mahal sinyal jelek develop tolong banget sinyal nya di perbaiki jadi buat belajar sama ngirim tugas biar tidak lemot lagi apa lgi pas ulangan sinyalnya susah banget jadi kena imbas nya .&quot;"/>
    <x v="0"/>
    <x v="0"/>
    <x v="0"/>
    <s v="-1.0"/>
    <s v="NULL"/>
    <s v="Neutral"/>
    <x v="0"/>
    <x v="1"/>
    <s v="Positif"/>
  </r>
  <r>
    <x v="757"/>
    <x v="1"/>
    <x v="61"/>
    <d v="1899-12-30T12:21:00"/>
    <s v="&quot;Saya rugi 60 ribu gegara xl, saya isi pulsa 60 ribu lalu saya masuk ke aplikasi My XL ternyata ada bonus isi pulsa yaitu kuota sebesar 2GB dengan biaya 0 rupiah, lalu saya ambil, tiba tiba pulsa saya habis jadi seribu, aneh kenapa tiba tiba pulsa yang berkurang bukannya paket internet yang berkurang, setelah saya nanya ke layanan My XL ternyata ada fitur kontrol pulsa, saya sama sekali enggak tau dan baru tau fitur itu ketika saya dirugikan. Saya seorang pelajar dengan keuangan yang miskin&quot;"/>
    <x v="0"/>
    <x v="0"/>
    <x v="0"/>
    <s v="-1.0"/>
    <s v="NULL"/>
    <s v="Positive"/>
    <x v="0"/>
    <x v="2"/>
    <s v="Positif"/>
  </r>
  <r>
    <x v="758"/>
    <x v="1"/>
    <x v="61"/>
    <d v="1899-12-30T11:26:00"/>
    <s v="&quot;Hai..saya sebagai salah satu pengguna XL..sangat kecewa dan miris sekali..karena setiap saya membuka my xl..selalu saja susah dan lama loadingnya padahal sinnyalnya penuh dan setiap menggunakan internet sering kali hilang sinyal dan kembali lagi..padahal saya berada dikota besar..dan saya rasa iklan xl tidak sesuai dengan kenyataan yg ada..maaf..memang itu yg saya alami..thanks&quot;"/>
    <x v="0"/>
    <x v="0"/>
    <x v="0"/>
    <s v="-1.0"/>
    <s v="NULL"/>
    <s v="Neutral"/>
    <x v="0"/>
    <x v="1"/>
    <s v="Positif"/>
  </r>
  <r>
    <x v="759"/>
    <x v="1"/>
    <x v="61"/>
    <d v="1899-12-30T10:31:00"/>
    <s v="&quot;Ini saya beli paket akrab kok gabisa ngundang nomer lain? Notifnya bilang gunakan nomor yg belum terdaftar paket akarab sebelumnya, pdahal nomer yg saya undang memang blm terdaftar, kendalanya apa?&quot;"/>
    <x v="1"/>
    <x v="1"/>
    <x v="1"/>
    <s v="0.0"/>
    <s v="NULL"/>
    <s v="Neutral"/>
    <x v="1"/>
    <x v="1"/>
    <s v="Netral"/>
  </r>
  <r>
    <x v="760"/>
    <x v="3"/>
    <x v="62"/>
    <d v="1899-12-30T09:35:00"/>
    <s v="&quot;Kok ini aplikasi mhXL-cek kuota Update-update terus berulang-ulang kali ni dah kesekian kalinya maunya sekali Update saja bar Ng banyak makan data,tolong diperbaiki bar pemakai XL merasa nyaman smua ok ... Ã°Å¸Â¤Â£Ã°Å¸Â¤Â£Ã°Å¸â„¢ÂÃ°Å¸â„¢Â.&quot;"/>
    <x v="1"/>
    <x v="1"/>
    <x v="1"/>
    <s v="0.0"/>
    <s v="NULL"/>
    <s v="Positive"/>
    <x v="1"/>
    <x v="2"/>
    <s v="Netral"/>
  </r>
  <r>
    <x v="761"/>
    <x v="1"/>
    <x v="62"/>
    <d v="1899-12-30T09:10:00"/>
    <s v="&quot;Saran untuk teman-teman pengguna kartu XL, apabila kita isi ulang pulsa 100rb keatas harus cepat digunakan untuk pembelian kuota internet agar pulsa tersebut tidak hilang/raib dengan sendirinya. Meskipun kuota internet sisa sebelumnya masih banyak namun yang tersedot adalah pulsa. Sangat disayangkan bukan? kita sudah beli pulsa mahal-mahal untuk persiapan beli kuota internet selanjutnya malah pulsa tersebut hilang/raib. Operator! tolong lindungi pulsa para konsumen, terima kasih.&quot;"/>
    <x v="1"/>
    <x v="1"/>
    <x v="1"/>
    <s v="0.0"/>
    <s v="NULL"/>
    <s v="Neutral"/>
    <x v="1"/>
    <x v="1"/>
    <s v="Netral"/>
  </r>
  <r>
    <x v="762"/>
    <x v="4"/>
    <x v="62"/>
    <d v="1899-12-30T09:07:00"/>
    <s v="&quot;Saya mau komplen sebagai pengguna XL Prioritas, pembayaran booster senila 16.500 rupiah lewat gopay sudah diambil oleh pihak XL tapi paket internet 5 GB 7 hari yang saya inginkan tak kunjung datang. Mohon secepatnya diproses agar sesuai dengan harapan!!!&quot;"/>
    <x v="0"/>
    <x v="0"/>
    <x v="0"/>
    <s v="-1.0"/>
    <s v="NULL"/>
    <s v="Neutral"/>
    <x v="0"/>
    <x v="1"/>
    <s v="Positif"/>
  </r>
  <r>
    <x v="763"/>
    <x v="1"/>
    <x v="62"/>
    <d v="1899-12-30T05:11:00"/>
    <s v="&quot;aplikasi jelek! udh di update ttp gabisa dibuka loading terus error gak jelas, pokoknya jelek! nyusahin orang aja padahal kan perlu internet, kalo ga bisa gini mau gmn!!?? udah pada ganti aja ke provider yang lain deh xl makin lama makin aneh, lemot, jangan pake lagi! setiap Jumat dipake google meet selalu gak ada sinyal &quot;EDGE&quot; jelek bgttt pokoknya&quot;"/>
    <x v="0"/>
    <x v="0"/>
    <x v="0"/>
    <s v="-1.0"/>
    <s v="NULL"/>
    <s v="Negative"/>
    <x v="0"/>
    <x v="0"/>
    <s v="Positif"/>
  </r>
  <r>
    <x v="764"/>
    <x v="1"/>
    <x v="62"/>
    <d v="1899-12-30T03:47:00"/>
    <s v="&quot;Min mau nanya XL banyak yg korupsi yah seharusnya uang hasil pembelian apapun xl itu untuk memaksimal kan sinyal dan memperkuatnya tapi kenapa makin kesini udh mahal sinyal jelek parah yah kalo memang banyak yg korup mending anda tutup merugikan Jaringan anda di bandingkan sinyal lain anda lebih parah semoga kedepannya bisa bangkrut dan hilang dari Indonesia yah karna merugikan&quot;"/>
    <x v="0"/>
    <x v="0"/>
    <x v="0"/>
    <s v="-1.0"/>
    <s v="NULL"/>
    <s v="Neutral"/>
    <x v="0"/>
    <x v="1"/>
    <s v="Positif"/>
  </r>
  <r>
    <x v="765"/>
    <x v="1"/>
    <x v="62"/>
    <d v="1899-12-30T02:57:00"/>
    <s v="&quot;Selamat siang min,,,tgl 10 desember 2021 saya isi paket xtra combo reguler yg 20G seharga Rp.58.000.. tapi q paket nya hari ini tiba tiba berubah jadi hanya 15G?&quot;"/>
    <x v="1"/>
    <x v="1"/>
    <x v="1"/>
    <s v="0.0"/>
    <s v="NULL"/>
    <s v="Neutral"/>
    <x v="1"/>
    <x v="1"/>
    <s v="Netral"/>
  </r>
  <r>
    <x v="766"/>
    <x v="2"/>
    <x v="62"/>
    <d v="1899-12-30T23:29:00"/>
    <s v="&quot;Hai kenapa saya gabisa nge klaim bonus unlimited saya?? Tiap nge klik tulisan klaim pasti kembali sendiri hpnya ke layar utama, saya coba lagi gitu lagi tulisannya. Mohon dijawab yaa nanti kalo udah bisa ratingnya saya ganti Ã°Å¸â„¢Â Edit : eh udah bisa deh , habis update aplikasi langsung bisa deh Ã¢Å“Â¨&quot;"/>
    <x v="2"/>
    <x v="2"/>
    <x v="2"/>
    <s v="1.0"/>
    <s v="NULL"/>
    <s v="Positive"/>
    <x v="0"/>
    <x v="2"/>
    <s v="Positif"/>
  </r>
  <r>
    <x v="767"/>
    <x v="4"/>
    <x v="62"/>
    <d v="1899-12-30T17:28:00"/>
    <s v="&quot;sinyal nggak stabil,kadang tiba tiba hilang sendiri. beli voucher kuota 40 GB diaktifkan dapet notif masuk kuota 40 GB tapi pas dicek di aplikasi cuma 35,yg 5 GB kemana??&quot;"/>
    <x v="0"/>
    <x v="0"/>
    <x v="0"/>
    <s v="-1.0"/>
    <s v="NULL"/>
    <s v="Neutral"/>
    <x v="0"/>
    <x v="1"/>
    <s v="Positif"/>
  </r>
  <r>
    <x v="768"/>
    <x v="1"/>
    <x v="62"/>
    <d v="1899-12-30T14:16:00"/>
    <s v="&quot;Tadi saya habis beli paket &quot;Xtra Combo Lite 40gb&quot; lewat aplikasi tapi kenapa yang masuk cuma 35 gb ?? Yang 5gb kemana heyy XL ?? Sebelumnya saya ngisi beli voucher di konter pulsa amanÃ‚Â² aja, beli 40gb yang masuk 40gb Giliran beli di aplikasi malah ke potong ini gimana sih ?? Ã°Å¸Â¤â€ Masa harus pindah provider lagi ?&quot;"/>
    <x v="1"/>
    <x v="1"/>
    <x v="1"/>
    <s v="0.0"/>
    <s v="NULL"/>
    <s v="Neutral"/>
    <x v="1"/>
    <x v="1"/>
    <s v="Netral"/>
  </r>
  <r>
    <x v="769"/>
    <x v="1"/>
    <x v="62"/>
    <d v="1899-12-30T14:07:00"/>
    <s v="&quot;Woi knp ga bisa beli paket mini combo batal tros tolol, tiba2 pas buka aplikasi nya lagi pulsa ke sedot, ah tolol sumpah padahal mau beli yg 11 gb 20 rb. Gagal tros ajg asu ga niat kerja apa gmn seh ah, rugi saya&quot;"/>
    <x v="0"/>
    <x v="0"/>
    <x v="0"/>
    <s v="-1.0"/>
    <s v="NULL"/>
    <s v="Neutral"/>
    <x v="0"/>
    <x v="1"/>
    <s v="Positif"/>
  </r>
  <r>
    <x v="770"/>
    <x v="1"/>
    <x v="62"/>
    <d v="1899-12-30T13:59:00"/>
    <s v="&quot;Kenapa jaringan lemot terus,keteter harus bayar tiap bulan ratus_ratus ribu mau berhentinya susah banget harus ke XL Center nya,sangat kecewa banget lebih dari 10 tahun pake XL,pake XL Pasca Bayar sudah 5 bulan tapi giliran akitifin data XL malah lemot terus padahal sudah di ruangan terbuka di atas pula masih tetep lemot&quot;"/>
    <x v="0"/>
    <x v="0"/>
    <x v="0"/>
    <s v="-1.0"/>
    <s v="NULL"/>
    <s v="Neutral"/>
    <x v="0"/>
    <x v="1"/>
    <s v="Positif"/>
  </r>
  <r>
    <x v="771"/>
    <x v="2"/>
    <x v="63"/>
    <d v="1899-12-30T08:05:00"/>
    <s v="&quot;Terima Kasih, akhirnya saya sdh bisa menggunakan aplikasi pembelian paket di myXL... tapi kadang masih ada kelambatan membuka pilihan pembelian paketnya.! Semoga XL AXIATA semakin maju.&quot;"/>
    <x v="2"/>
    <x v="2"/>
    <x v="2"/>
    <s v="1.0"/>
    <s v="NULL"/>
    <s v="Neutral"/>
    <x v="0"/>
    <x v="1"/>
    <s v="Positif"/>
  </r>
  <r>
    <x v="772"/>
    <x v="1"/>
    <x v="63"/>
    <d v="1899-12-30T06:49:00"/>
    <s v="&quot;Parah sih beli paket internet 2x, yang satu hilang.. nanya sama agent live chat gak efisien, berjam jam dan gak dapet jawaban yang memuaskan.. Padahal baru mau coba pake XL, tapi langsung dapet kecewa..&quot;"/>
    <x v="0"/>
    <x v="0"/>
    <x v="0"/>
    <s v="-1.0"/>
    <s v="NULL"/>
    <s v="Neutral"/>
    <x v="0"/>
    <x v="1"/>
    <s v="Positif"/>
  </r>
  <r>
    <x v="773"/>
    <x v="1"/>
    <x v="63"/>
    <d v="1899-12-30T06:44:00"/>
    <s v="&quot;bagaimana ini xl saya beli paket dari aplikasi myxl sudah memotong gopay saya dan berhasil dari laporan gopay nya tapi paket data nya tidak masuk masuk, dan sekarang malah ga bisa masuk k aplikasi myxl nya untuk komplen..&quot;"/>
    <x v="0"/>
    <x v="0"/>
    <x v="0"/>
    <s v="-1.0"/>
    <s v="NULL"/>
    <s v="Neutral"/>
    <x v="0"/>
    <x v="1"/>
    <s v="Positif"/>
  </r>
  <r>
    <x v="774"/>
    <x v="1"/>
    <x v="63"/>
    <d v="1899-12-30T06:37:00"/>
    <s v="&quot;Wah paraaaaah XL. Sdah pulsa terpotong via gopay tapi kuota gak kunjung datang ditunggu dari pagi sampai sore belum masuk. Bahkan di app gak ada tempat mencari info pemberitahuan sukses. Paraaah....banget. kasihan yg nunggu. Bagaimana ini chat Maya juga jawab gak nyambung. Nunggu cs tapi antrian 191. Paraaaaaaaah&quot;"/>
    <x v="0"/>
    <x v="0"/>
    <x v="0"/>
    <s v="-1.0"/>
    <s v="NULL"/>
    <s v="Negative"/>
    <x v="0"/>
    <x v="0"/>
    <s v="Positif"/>
  </r>
  <r>
    <x v="775"/>
    <x v="1"/>
    <x v="63"/>
    <d v="1899-12-30T05:29:00"/>
    <s v="&quot;Sudah beli paket internet dari pagi tadi dan transaksi berhasil. Tapi paket tidak kunjung terdaftar. Padahal sudah tersedot dana nya. Ini gimana sih?&quot;"/>
    <x v="0"/>
    <x v="0"/>
    <x v="0"/>
    <s v="-1.0"/>
    <s v="NULL"/>
    <s v="Neutral"/>
    <x v="0"/>
    <x v="1"/>
    <s v="Positif"/>
  </r>
  <r>
    <x v="776"/>
    <x v="4"/>
    <x v="63"/>
    <d v="1899-12-30T04:19:00"/>
    <s v="&quot;Sistem unlimited nya udah gak kayak dulu, apalagi signal nya sekarang lemot parah. #UDAHGAKKAYAKDULU. 5 hp dikeluargaku pakai XL. Sorry min admin Ã°Å¸â„¢Â ini bentuk loyal konsumen ___ asvv&quot;"/>
    <x v="0"/>
    <x v="0"/>
    <x v="0"/>
    <s v="-1.0"/>
    <s v="NULL"/>
    <s v="Positive"/>
    <x v="0"/>
    <x v="2"/>
    <s v="Positif"/>
  </r>
  <r>
    <x v="777"/>
    <x v="1"/>
    <x v="63"/>
    <d v="1899-12-30T03:40:00"/>
    <s v="&quot;KECEWA BANGET!!!!! signal 4g, 3 bar sampe 4 bar, paket internet baru beli gak bisa buat apa2, sekedar kirim pesan WA aja susahnya minta ampun... Kalo kayak gini terus mending pindah provider aja&quot;"/>
    <x v="0"/>
    <x v="0"/>
    <x v="0"/>
    <s v="-1.0"/>
    <s v="NULL"/>
    <s v="Neutral"/>
    <x v="0"/>
    <x v="1"/>
    <s v="Positif"/>
  </r>
  <r>
    <x v="778"/>
    <x v="2"/>
    <x v="63"/>
    <d v="1899-12-30T01:52:00"/>
    <s v="&quot;Kenapa aplikasi myXL saya tidak bisa dibuka? Setiap saya masuk aplikasi myXL selalu ada tulisan aplikasi tidak menanggapi, anda ingin menutupnya Kenapa selalu begitu padahal saya sangat membutuhkan aplikasi ini untuk saya mengecek paket data dan pulsa, customer service xl tolong solusinya&quot;"/>
    <x v="1"/>
    <x v="1"/>
    <x v="1"/>
    <s v="0.0"/>
    <s v="NULL"/>
    <s v="Neutral"/>
    <x v="1"/>
    <x v="1"/>
    <s v="Netral"/>
  </r>
  <r>
    <x v="779"/>
    <x v="4"/>
    <x v="63"/>
    <d v="1899-12-30T01:25:00"/>
    <s v="&quot;XL sy akui sinyal nya bagus bgt, , tp hanya saja boros nya mnta ampun, 20 gb cm brthan 2 mggu, Beda sm simcard yg ke 2 tsel sya, sm2 20gb tp cukup sebulan,,, pdhal pemakaian sama, tp XL lbih boros,&quot;"/>
    <x v="0"/>
    <x v="0"/>
    <x v="0"/>
    <s v="-1.0"/>
    <s v="NULL"/>
    <s v="Neutral"/>
    <x v="0"/>
    <x v="1"/>
    <s v="Positif"/>
  </r>
  <r>
    <x v="780"/>
    <x v="1"/>
    <x v="63"/>
    <d v="1899-12-30T01:13:00"/>
    <s v="&quot;Makin lama makin nggak jelas xl. Masa iya sinyal tiba2 ilang terus nggak balik lagi. Udah dimode pesawatin , hp udah direstart tapi masih juga nggak ada. Yg bener dikit lah xl. Becandanya kelewatan&quot;"/>
    <x v="0"/>
    <x v="0"/>
    <x v="0"/>
    <s v="-1.0"/>
    <s v="NULL"/>
    <s v="Neutral"/>
    <x v="0"/>
    <x v="1"/>
    <s v="Positif"/>
  </r>
  <r>
    <x v="781"/>
    <x v="1"/>
    <x v="63"/>
    <d v="1899-12-30T18:07:00"/>
    <s v="&quot;Kenapa kartu saya disabotase kenapa woy, apa karena saya sering memarahi cs atau gmna, padahal tetangga Sawa signal Wifi-nya pakai provider XL, dan selalu penuh, giliran kita yg pakai signal hp mlah sprti ini, tolong lah pihak XL jangan sprti ini trus, sya males lah kalau mau pindah2 provider lain, nanti harus login ulang datanya,&quot;"/>
    <x v="0"/>
    <x v="0"/>
    <x v="0"/>
    <s v="-1.0"/>
    <s v="NULL"/>
    <s v="Neutral"/>
    <x v="0"/>
    <x v="1"/>
    <s v="Positif"/>
  </r>
  <r>
    <x v="782"/>
    <x v="1"/>
    <x v="63"/>
    <d v="1899-12-30T16:55:00"/>
    <s v="&quot;Malam .. pak ini aplikasinya yg berat apa hp saya yg jelek ... mohon diperbaiki aplikasinya .. karna saya buka diaplikasi provider lainnya itu bisa kecuali xl .. kode verifikasi masuknya juga lama .. lebih dri 5 menit .. lalu sms masuk tumpang tindih .. registrasi jadinya error .. #mau daftar paket saja susahnya minta ampun .. mohon jgn info clear cache, memori penuh, instal ulang.. * daftar paketan via sms juga gitu dialihkan ke myxl.. mohon dipermudah yg via sms .. terima kasih..&quot;"/>
    <x v="1"/>
    <x v="1"/>
    <x v="1"/>
    <s v="0.0"/>
    <s v="NULL"/>
    <s v="Neutral"/>
    <x v="1"/>
    <x v="1"/>
    <s v="Netral"/>
  </r>
  <r>
    <x v="783"/>
    <x v="1"/>
    <x v="63"/>
    <d v="1899-12-30T15:41:00"/>
    <s v="&quot;Saya masuk dipusat bantuan untuk menanyakan perihal gagal masuk acount MYXL saya,hanya dijawab pake template,nggak ada solusi yang harus dilakukan.capek2 saja saya menunggu.&quot;"/>
    <x v="0"/>
    <x v="0"/>
    <x v="0"/>
    <s v="-1.0"/>
    <s v="NULL"/>
    <s v="Neutral"/>
    <x v="0"/>
    <x v="1"/>
    <s v="Positif"/>
  </r>
  <r>
    <x v="784"/>
    <x v="3"/>
    <x v="63"/>
    <d v="1899-12-30T15:32:00"/>
    <s v="&quot;Ini gimana sih cara aktif.n kuota unlimited youtube.a? Nih kenapa klo mau aktif.n kuota unlimited gk bisa ya, keluar* terus? Tolong diperbaiki lagi pelayanan.a, terima kasih&quot;"/>
    <x v="1"/>
    <x v="1"/>
    <x v="1"/>
    <s v="0.0"/>
    <s v="NULL"/>
    <s v="Neutral"/>
    <x v="1"/>
    <x v="1"/>
    <s v="Netral"/>
  </r>
  <r>
    <x v="785"/>
    <x v="1"/>
    <x v="63"/>
    <d v="1899-12-30T14:30:00"/>
    <s v="&quot;Udah jadi favorit nih XL paketnya murah unlimited enak bgt, tapi kecewa skrg sinyalnya jelek bgt. Padahal baru aja isi paketan malah tambah lemot. Tolong dong kalo bisa perbaiki! Udah bingung bgt harus pake kartu apalagiÃ°Å¸Ëœâ€.................................................................&quot;"/>
    <x v="1"/>
    <x v="1"/>
    <x v="1"/>
    <s v="0.0"/>
    <s v="NULL"/>
    <s v="Neutral"/>
    <x v="1"/>
    <x v="1"/>
    <s v="Netral"/>
  </r>
  <r>
    <x v="786"/>
    <x v="1"/>
    <x v="63"/>
    <d v="1899-12-30T11:23:00"/>
    <s v="&quot;Sinyalnya tidak sampai ke pedesaan . Di kampung tempat saya tinggal masih sulit sinyalnya apalagi jaringan datanya . Mohon bagi pihak xl , agar bisa memperbaiki kualitas jaringannya&quot;"/>
    <x v="1"/>
    <x v="1"/>
    <x v="1"/>
    <s v="0.0"/>
    <s v="NULL"/>
    <s v="Neutral"/>
    <x v="1"/>
    <x v="1"/>
    <s v="Netral"/>
  </r>
  <r>
    <x v="787"/>
    <x v="0"/>
    <x v="63"/>
    <d v="1899-12-30T10:52:00"/>
    <s v="&quot;XL sekarang ndak jelas, isi kuota belum masuk masuk, masalah sebelum nya pernah lapor di CS juga belum terselesaikan sampai 1 minggu an, berharap terselesaikan semua problem sy dalam waktu dekat dah&quot;"/>
    <x v="0"/>
    <x v="0"/>
    <x v="0"/>
    <s v="-1.0"/>
    <s v="NULL"/>
    <s v="Negative"/>
    <x v="0"/>
    <x v="0"/>
    <s v="Positif"/>
  </r>
  <r>
    <x v="788"/>
    <x v="2"/>
    <x v="64"/>
    <d v="1899-12-30T05:00:00"/>
    <s v="&quot;Terimakasih xl telah menemani kegiatan sehari hari saya selama 3 tahun ini, Tapi kayak nya saya mau ganti kartu aja. Soal nya harga kuota xl mahal mahal. Masa saya sebulan isi ulang kuota xl habis 300 ribu. Dari tgl 1 saya isi ulang 40k dpt 10 gb yg cuman dapet kuota UTAMA 7,5gb sisa nya kuota MALAM. Ya kali gw begadang tengah malam jam 1 sampe jam 6 subuh cuman buat gunain kuota malam. padahal dulu taun 2019/2018 xl gak begini dulu harga 40k dpt 8GB kuota utama tanpa di bagi kuota malam.&quot;"/>
    <x v="0"/>
    <x v="0"/>
    <x v="0"/>
    <s v="-1.0"/>
    <s v="NULL"/>
    <s v="Neutral"/>
    <x v="0"/>
    <x v="1"/>
    <s v="Positif"/>
  </r>
  <r>
    <x v="789"/>
    <x v="1"/>
    <x v="64"/>
    <d v="1899-12-30T17:14:00"/>
    <s v="&quot;Ini aplikasi yg gk jelas x. Gk bisa2 dibuka utk cek paket &amp; kuota. Aplikasi amatiran, padahal perusahaannya udah lama, mana sinyalnya lemot lg. Gk mau kasih bintang lg&quot;"/>
    <x v="0"/>
    <x v="0"/>
    <x v="0"/>
    <s v="-1.0"/>
    <s v="NULL"/>
    <s v="Neutral"/>
    <x v="0"/>
    <x v="1"/>
    <s v="Positif"/>
  </r>
  <r>
    <x v="790"/>
    <x v="1"/>
    <x v="64"/>
    <d v="1899-12-30T17:08:00"/>
    <s v="&quot;Saya sangat kecewa dengan layanan internet xl, sayang pengguna xl sudah hampir 3 tahun walaupun kartunya ganti2, dan setiap akhir tahun selalu jaringannya tidak pernah bagus, ini tahun ke 3 saya make xl, bahkan saya tinggal berdekatan dengan towernya. MOHON TAHUN DEPAN DI BAGUSIN LAYANAN INTERNETNYA&quot;"/>
    <x v="0"/>
    <x v="0"/>
    <x v="0"/>
    <s v="-1.0"/>
    <s v="NULL"/>
    <s v="Neutral"/>
    <x v="0"/>
    <x v="1"/>
    <s v="Positif"/>
  </r>
  <r>
    <x v="791"/>
    <x v="4"/>
    <x v="64"/>
    <d v="1899-12-30T16:15:00"/>
    <s v="&quot;Sekarang masa aktif nya sebentar, tibaÃ‚Â² sudah ada pemberitahuan kalau kartunya sudah masa tenggang, dan signal suka tidak stabil, apabila buat game suka ngeleg, sinyal penuh tapi tetap internet nya suka macet&quot;"/>
    <x v="0"/>
    <x v="0"/>
    <x v="0"/>
    <s v="-1.0"/>
    <s v="NULL"/>
    <s v="Neutral"/>
    <x v="0"/>
    <x v="1"/>
    <s v="Positif"/>
  </r>
  <r>
    <x v="792"/>
    <x v="2"/>
    <x v="64"/>
    <d v="1899-12-30T15:29:00"/>
    <s v="&quot;Apk ya bagus !!!!!!!!!! gua baru tau di apk ini bisa to up game ff !!!! murah di codasop to up diamon pakai pulsa 140dm 25k di apk ini cuma 19k semoga apdate nati kita bisa beli mebersip mingguan /bulanan top lah jadi kepingin beli pulsa sering sering buat to up dm murahhhhhh :) jagan beli kartu sem**fren ajg lemod to up jga mahal salam dari peleyer ff :)gua saranin mode to up di tengah apk di apdate nanti :) saran: bisa beli kode goole play :)&quot;"/>
    <x v="2"/>
    <x v="2"/>
    <x v="2"/>
    <s v="1.0"/>
    <s v="NULL"/>
    <s v="Positive"/>
    <x v="0"/>
    <x v="2"/>
    <s v="Positif"/>
  </r>
  <r>
    <x v="793"/>
    <x v="1"/>
    <x v="64"/>
    <d v="1899-12-30T00:44:00"/>
    <s v="&quot;Kenapa saya mau buka aplikasi my xl selalu gak bisa katanya aplikasi tidak menanggapi selalu aja begitu kalau mau buka my xl tolong diperbaiki dong !!!!!!! Dan tolong dijawab juga!!!!!!!&quot;"/>
    <x v="0"/>
    <x v="0"/>
    <x v="0"/>
    <s v="-1.0"/>
    <s v="NULL"/>
    <s v="Neutral"/>
    <x v="0"/>
    <x v="1"/>
    <s v="Positif"/>
  </r>
  <r>
    <x v="794"/>
    <x v="1"/>
    <x v="65"/>
    <d v="1899-12-30T06:22:00"/>
    <s v="&quot;Tolong diperbaiki apknya. Susah kebuka dan selalu keluar sendiri apknya. Sudah dilakuakan restrat dan hapus apk kemudian di download lagi. Tetap saja masih sama seperti awal. XL perusahaan Proveder besar, masa apk sendiri seperti apk odong2. Payaaaaah.&quot;"/>
    <x v="0"/>
    <x v="0"/>
    <x v="0"/>
    <s v="-1.0"/>
    <s v="NULL"/>
    <s v="Neutral"/>
    <x v="0"/>
    <x v="1"/>
    <s v="Positif"/>
  </r>
  <r>
    <x v="795"/>
    <x v="4"/>
    <x v="65"/>
    <d v="1899-12-30T23:00:00"/>
    <s v="&quot;tidak terlalu baguss apk sering error,minta update terus2an dan pulsa sy suka habis sendiri gak jelas padahal sy gak pake pulsa hari ini isi pulsa 5 ribu tiba2 aja besok atau lusa pulsa nya berkurang dan tersisa 2 ribu padahal gak buat di pake apa2 kesel&quot;"/>
    <x v="0"/>
    <x v="0"/>
    <x v="0"/>
    <s v="-1.0"/>
    <s v="NULL"/>
    <s v="Neutral"/>
    <x v="0"/>
    <x v="1"/>
    <s v="Positif"/>
  </r>
  <r>
    <x v="796"/>
    <x v="1"/>
    <x v="65"/>
    <d v="1899-12-30T01:49:00"/>
    <s v="&quot;Kecewa sama XL, beli paketan lewat myXL udah dibayar btapi kuota tidak ada masuk, udah ditunggu beberapa jam juga tidak masuk. Akhirnya beli ulang lagi. Kecewa sih jadinya rugi karena kuota tidak masuk padahal udah dibayar&quot;"/>
    <x v="0"/>
    <x v="0"/>
    <x v="0"/>
    <s v="-1.0"/>
    <s v="NULL"/>
    <s v="Neutral"/>
    <x v="0"/>
    <x v="1"/>
    <s v="Positif"/>
  </r>
  <r>
    <x v="797"/>
    <x v="1"/>
    <x v="65"/>
    <d v="1899-12-30T17:37:00"/>
    <s v="&quot;Sangat pantas saya berikan bintang 1, karena tidak ada perbaikan jaringan diDuri Kosambi Jakarta Barat, coba dicek ada gedung apa yg menghalangi tower jaringan XL, sebelum gedung-gedung itu berdiri sangat bagus sinyalnya. Percuma chat bot maya tidak ada solusi, customer care terkendala terputus berulang kali, tidak perlu balas ke email saya, perbaiki saja jaringannya.&quot;"/>
    <x v="0"/>
    <x v="0"/>
    <x v="0"/>
    <s v="-1.0"/>
    <s v="NULL"/>
    <s v="Positive"/>
    <x v="0"/>
    <x v="2"/>
    <s v="Positif"/>
  </r>
  <r>
    <x v="798"/>
    <x v="4"/>
    <x v="65"/>
    <d v="1899-12-30T15:53:00"/>
    <s v="&quot;Mau tanya tolong bisa dijawab,knp sekarang setiap beli pulsa masa aktif kartu tidak otomatis diperpanjang??? Dan harus beli masa aktif Ditunggu jawabannya&quot;"/>
    <x v="1"/>
    <x v="1"/>
    <x v="1"/>
    <s v="0.0"/>
    <s v="NULL"/>
    <s v="Neutral"/>
    <x v="1"/>
    <x v="1"/>
    <s v="Netral"/>
  </r>
  <r>
    <x v="799"/>
    <x v="1"/>
    <x v="65"/>
    <d v="1899-12-30T12:54:00"/>
    <s v="&quot;Udah lama gak make xl. Pindah ke lain karna jaringannya yg gak bagus. Balik ke xl karna ada kuata kuhusus game. Eh ternyata malah tambah jelek jaringanya. Tinggal di kota aja begini jaringannya gimna kalo di pelosok desa ya... Ini Marketing yg sangat bagus. Supaya banyak pengguna xl. Tapi tetap di hujat sama orang lain. Jualan lah dengan jujur supaya konsumenmu tidak kecewa. #udahgituaja&quot;"/>
    <x v="0"/>
    <x v="0"/>
    <x v="0"/>
    <s v="-1.0"/>
    <s v="NULL"/>
    <s v="Neutral"/>
    <x v="0"/>
    <x v="1"/>
    <s v="Positif"/>
  </r>
  <r>
    <x v="800"/>
    <x v="3"/>
    <x v="65"/>
    <d v="1899-12-30T12:26:00"/>
    <s v="&quot;kpd. Developer terhormat di tempat Hallo saya pengguna baru aplikasi ini, sedikit saran dari saya. Tolong segera diperbaiki masih banyak kekurangan. Pas masuk app lelet banget,terus suka keluar sendiri. Saya pikir ini bukan masalah jaringan atau masalah pada hp nya tapi masalah pada aplikasinya. sekian dan terima kasih.&quot;"/>
    <x v="1"/>
    <x v="1"/>
    <x v="1"/>
    <s v="0.0"/>
    <s v="NULL"/>
    <s v="Neutral"/>
    <x v="1"/>
    <x v="1"/>
    <s v="Netral"/>
  </r>
  <r>
    <x v="801"/>
    <x v="1"/>
    <x v="65"/>
    <d v="1899-12-30T10:05:00"/>
    <s v="&quot;Saya nyoba xl ternyata mengecewakan. Bayangkan setiap 10-15mnit dapat sms pulsa anda habis intinya dsuru ngisi dah,sedangkan tidak butuh pulsa biasa. Itu jatuhnya SPAM. Mengganggu sangat. Andai ada rating minus&quot;"/>
    <x v="0"/>
    <x v="0"/>
    <x v="0"/>
    <s v="-1.0"/>
    <s v="NULL"/>
    <s v="Negative"/>
    <x v="0"/>
    <x v="0"/>
    <s v="Positif"/>
  </r>
  <r>
    <x v="802"/>
    <x v="1"/>
    <x v="66"/>
    <d v="1899-12-30T06:59:00"/>
    <s v="&quot;Baru download apk myXL, ada keterangan gagal memuat data. Dan saya coba klik xl store tidak ada gambar/maupun tulisan. Padahal ram8gb dan internal 256gb. Saya kecewa. Auto tidak jadi pakai kartu xl&quot;"/>
    <x v="0"/>
    <x v="0"/>
    <x v="0"/>
    <s v="-1.0"/>
    <s v="NULL"/>
    <s v="Neutral"/>
    <x v="0"/>
    <x v="1"/>
    <s v="Positif"/>
  </r>
  <r>
    <x v="803"/>
    <x v="1"/>
    <x v="66"/>
    <d v="1899-12-30T04:56:00"/>
    <s v="&quot;Kecewa dengan aplikasi My XL,loadingnya lambat banget dan suka crash aplikasinya tidak lancar.Mohon pihak XL segera memperbaiki sistem aplikasi My XL agar pelanggan bisa menggunakannya dengan nyaman dan tidak terhambat.Terimakasih&quot;"/>
    <x v="0"/>
    <x v="0"/>
    <x v="0"/>
    <s v="-1.0"/>
    <s v="NULL"/>
    <s v="Negative"/>
    <x v="0"/>
    <x v="0"/>
    <s v="Positif"/>
  </r>
  <r>
    <x v="804"/>
    <x v="1"/>
    <x v="66"/>
    <d v="1899-12-30T02:16:00"/>
    <s v="&quot;XL NETWORK PAYAH !! PAKET DATA SAYA BELI BOS!! NGGA NGUTANG, NGGA KREDIT, NGGA MINTA!! TAPI KUALITAS JARINGAN NYA SEOLAH SAYA NGEMIS SINYAL!! SEMUA PENCAPAIAN DI GAME RUSAK CUMA KARENA SINYAL JELEK!!! SEMUA TAHAP DAN PROSES PEMAKSIMALAN GADGET SUDAH DILAKUKAN , TETAP SAJA JARINGAN MACAM NGEMIS !!! KALAU SUDAH NGGA SANGGUP LAYANI PELANGGAN, MERGER ATAU TUTUP AJA BOS. NGECEWAIN TERUS BISANYA. ANDAI ADA RATING BINTANG 1/4 SAYA KASIH 1/4 BINTANG!! MAAF DAN TERIMA KASIH!&quot;"/>
    <x v="0"/>
    <x v="0"/>
    <x v="0"/>
    <s v="-1.0"/>
    <s v="NULL"/>
    <s v="Neutral"/>
    <x v="0"/>
    <x v="1"/>
    <s v="Positif"/>
  </r>
  <r>
    <x v="805"/>
    <x v="0"/>
    <x v="66"/>
    <d v="1899-12-30T13:48:00"/>
    <s v="&quot;Mantap sih lumayan.... Cuman klo buat main game di area sini sinyalnya suka ngprank.... Pas di beranda warna ijo.... Cuman pas udah mulai main gamenya tiba2 turun drastis... Saya mohon buat makin perbaikin lagi deh.... Ping nya.... Terimakasih.....&quot;"/>
    <x v="1"/>
    <x v="1"/>
    <x v="1"/>
    <s v="0.0"/>
    <s v="NULL"/>
    <s v="Neutral"/>
    <x v="1"/>
    <x v="1"/>
    <s v="Netral"/>
  </r>
  <r>
    <x v="806"/>
    <x v="1"/>
    <x v="66"/>
    <d v="1899-12-30T12:44:00"/>
    <s v="&quot;gua milih kartu xl karena murah meski kualitasnya sangat rendah,, memkry gua kosong, chase udah di hapus, kenapa selalu kalo mau beli paketan gak bisa tiba tiba ke potong pulsanya? suka gak bisa di buka alasan sedang perbaikan masa setiap hari perbaikan?? hahh mau ngomong apa lagi lu?? memory internal?? chase?? dari dulu kek gini gak guna&quot;"/>
    <x v="0"/>
    <x v="0"/>
    <x v="0"/>
    <s v="-1.0"/>
    <s v="NULL"/>
    <s v="Neutral"/>
    <x v="0"/>
    <x v="1"/>
    <s v="Positif"/>
  </r>
  <r>
    <x v="807"/>
    <x v="1"/>
    <x v="66"/>
    <d v="1899-12-30T12:22:00"/>
    <s v="&quot;Aplikasi nya terlalu berat sehingga sulit dibuka, dan sangat sering error, apakah tidak bisa dibuat lebih sederhana aplikasinya agar lebih mudah di akses. TOLONG PERHATIAN NYA BUAT ADMIN. SUDAH BEBERAPA TAHUN SAYA MENGGUNAKAN APLIKASI INI DENGAN BERBAGAI TYPE SMARTPHONE TETAP SAJA SAMA, BERAT SAAT DIBUKA DAN SERING ERROR, TOLONG DI PERBAIKI JANGAN CUMA UPGRADE TANPA MEMPERBAIKI.&quot;"/>
    <x v="0"/>
    <x v="0"/>
    <x v="0"/>
    <s v="-1.0"/>
    <s v="NULL"/>
    <s v="Negative"/>
    <x v="0"/>
    <x v="0"/>
    <s v="Positif"/>
  </r>
  <r>
    <x v="808"/>
    <x v="1"/>
    <x v="66"/>
    <d v="1899-12-30T12:18:00"/>
    <s v="&quot;App myXl error atau lagi rusak kah, akubudh coba chat service malah dijawab abak abal, kan bingung, katanya ada pemberitahuan kakau dha berhasil login, udh ad, kuikutin saran di internet juga bekum bisa, ini app myXl knp??&quot;"/>
    <x v="0"/>
    <x v="0"/>
    <x v="0"/>
    <s v="-1.0"/>
    <s v="NULL"/>
    <s v="Negative"/>
    <x v="0"/>
    <x v="0"/>
    <s v="Positif"/>
  </r>
  <r>
    <x v="809"/>
    <x v="1"/>
    <x v="66"/>
    <d v="1899-12-30T11:54:00"/>
    <s v="&quot;Sinyal bagus kuota banyak tapi setiap mau buka my XL tulisanya coba lagi dan katanya ga ada koneksi internet. Makin kesini XL makin ga jelas banget. Tolong pihak developer diperbaiki lagi apknya&quot;"/>
    <x v="1"/>
    <x v="1"/>
    <x v="1"/>
    <s v="0.0"/>
    <s v="NULL"/>
    <s v="Neutral"/>
    <x v="1"/>
    <x v="1"/>
    <s v="Netral"/>
  </r>
  <r>
    <x v="810"/>
    <x v="2"/>
    <x v="66"/>
    <d v="1899-12-30T11:27:00"/>
    <s v="&quot;Tog diperbaiki lg , pas masuk aplikasinya msh suka lemot padahal jaringan lumer ,, sering bgt terjadi kesalahan/erorr koneksi , saya sudah jadi langganan XL dari tahun 2009 pertama saya punya handphone , , suksea selalu&quot;"/>
    <x v="1"/>
    <x v="1"/>
    <x v="1"/>
    <s v="0.0"/>
    <s v="NULL"/>
    <s v="Neutral"/>
    <x v="1"/>
    <x v="1"/>
    <s v="Netral"/>
  </r>
  <r>
    <x v="811"/>
    <x v="1"/>
    <x v="66"/>
    <d v="1899-12-30T00:09:00"/>
    <s v="&quot;Sudah 1bulan lebih aplikasi error mulu. Tiap mau isi kouta tetep &quot;terjadi kesalahan&quot; Mau bayar pakai apapun tetep sama. Mohon dperbaiki. Aplikasi dperbuat untuk mempermudah pelanggan.&quot;"/>
    <x v="0"/>
    <x v="0"/>
    <x v="0"/>
    <s v="-1.0"/>
    <s v="NULL"/>
    <s v="Negative"/>
    <x v="0"/>
    <x v="0"/>
    <s v="Positif"/>
  </r>
  <r>
    <x v="812"/>
    <x v="1"/>
    <x v="67"/>
    <d v="1899-12-30T07:50:00"/>
    <s v="&quot;Koneksi jaringan gagal, sedang menunggu proses perbaikan tapi udah 6 bulan belum di perbaiki,, apakah pelayanan XL memang begini? Udah ngadu di call center tapi di suruh restar handpone, padahal sudah semuanya, cuman belum ku banting&quot;"/>
    <x v="0"/>
    <x v="0"/>
    <x v="0"/>
    <s v="-1.0"/>
    <s v="NULL"/>
    <s v="Neutral"/>
    <x v="0"/>
    <x v="1"/>
    <s v="Positif"/>
  </r>
  <r>
    <x v="813"/>
    <x v="4"/>
    <x v="67"/>
    <d v="1899-12-30T07:49:00"/>
    <s v="&quot;Ada apa dengan XL ko lag mulu udh 4 hari lag XL udh gak kayak dulu bagus sekarang lag mulu padahal kuota gue masih ada 5 gb mohon kpd pihak XL tolong perbaiki lagi jaringan nya kalau udh bagus aku kasih bintang 5 sekian terimakasih&quot;"/>
    <x v="0"/>
    <x v="0"/>
    <x v="0"/>
    <s v="-1.0"/>
    <s v="NULL"/>
    <s v="Negative"/>
    <x v="0"/>
    <x v="0"/>
    <s v="Positif"/>
  </r>
  <r>
    <x v="814"/>
    <x v="2"/>
    <x v="67"/>
    <d v="1899-12-30T07:44:00"/>
    <s v="&quot;Sy pelanggan XL ..tp tidak tahu jumlah point yg sy miliki ..sy pikir saat pembelian paket secara otomatis point masuk ..kakau mesti klik sana sini gk praktis jd nya ..XL Ku ini ..&quot;"/>
    <x v="1"/>
    <x v="1"/>
    <x v="1"/>
    <s v="0.0"/>
    <s v="NULL"/>
    <s v="Neutral"/>
    <x v="1"/>
    <x v="1"/>
    <s v="Netral"/>
  </r>
  <r>
    <x v="815"/>
    <x v="1"/>
    <x v="67"/>
    <d v="1899-12-30T07:02:00"/>
    <s v="&quot;Kenapa XL tidak mengadakan call center kaya dlu, knpa sekarang jika ada problem harus pakai live chat, sedangkan live chat kurang tepat untuk mengatakan permasalahan.. Ditambah amat sangat lama menjawab chat customer nya,&quot;"/>
    <x v="1"/>
    <x v="1"/>
    <x v="1"/>
    <s v="0.0"/>
    <s v="NULL"/>
    <s v="Negative"/>
    <x v="1"/>
    <x v="0"/>
    <s v="Netral"/>
  </r>
  <r>
    <x v="816"/>
    <x v="0"/>
    <x v="67"/>
    <d v="1899-12-30T07:00:00"/>
    <s v="&quot;Sejauh ini aplikasinya bagus.Tolong untuk performa dari aplikasi ini harus ditingkatkan lagi dan tambahkan fitur hapus notifikasi karena dapat menurunkan performa aplikasi ini. Sekian Terima kasih&quot;"/>
    <x v="2"/>
    <x v="2"/>
    <x v="2"/>
    <s v="1.0"/>
    <s v="NULL"/>
    <s v="Neutral"/>
    <x v="0"/>
    <x v="1"/>
    <s v="Positif"/>
  </r>
  <r>
    <x v="817"/>
    <x v="1"/>
    <x v="67"/>
    <d v="1899-12-30T06:49:00"/>
    <s v="&quot;Jaringan buruk. Aplikasi gabisa di buka! Berulang kali begitu terus! Sudah hapus cache/data, unin sampe instal ulng&amp; restart hp tetep kgk bisa dibuka! Nyesel gue isi pulsa, tapi gabisa dipaketin! Udh gitu mahal paketannya jika beli non via aplikasi! Auto uninstal! Selamat tinggal&quot;"/>
    <x v="0"/>
    <x v="0"/>
    <x v="0"/>
    <s v="-1.0"/>
    <s v="NULL"/>
    <s v="Neutral"/>
    <x v="0"/>
    <x v="1"/>
    <s v="Positif"/>
  </r>
  <r>
    <x v="818"/>
    <x v="2"/>
    <x v="67"/>
    <d v="1899-12-30T05:42:00"/>
    <s v="&quot;Udah agak bagus, cuma disayangkan tower XL di kepulauan nias sangat sangat terbatas. Hanya beberapa titik. Seandainya bisa ada di tiap kecamatan seperti provider sebelah, yakin mereka akan pindah ke XL. bisa dihitung dg jari XL di kepulauan nias&quot;"/>
    <x v="2"/>
    <x v="2"/>
    <x v="2"/>
    <s v="1.0"/>
    <s v="NULL"/>
    <s v="Neutral"/>
    <x v="0"/>
    <x v="1"/>
    <s v="Positif"/>
  </r>
  <r>
    <x v="819"/>
    <x v="1"/>
    <x v="67"/>
    <d v="1899-12-30T02:53:00"/>
    <s v="&quot;Kenapa ya pulsa saya kesedot terus, untuk pemakaian internet, padahal paketan internet saya pakai provider lain... Saya punya kartu XL sudah sejak tahun 2003, sehingga para teman dan juga klien saya ngerti ya nomer XL tsb, paling2 ya dipakai tlp2 saja dan gak di pakai internetan, xl axiata, kembalikan pulsa saya&quot;"/>
    <x v="0"/>
    <x v="0"/>
    <x v="0"/>
    <s v="-1.0"/>
    <s v="NULL"/>
    <s v="Neutral"/>
    <x v="0"/>
    <x v="1"/>
    <s v="Positif"/>
  </r>
  <r>
    <x v="820"/>
    <x v="1"/>
    <x v="67"/>
    <d v="1899-12-30T02:50:00"/>
    <s v="&quot;Pelayanan virtual chatnya minus, lelet, tidak membantu sama sekali. Kayanya semua call centre nya dikasih nama samaran MAYA. Gimana mau kasih bintang 5 kalau pelayanannya buruk begini. Buat apa jd nasabah xl prioritas kalau pelayanan nya ga layak disebut dgn prioritas.&quot;"/>
    <x v="0"/>
    <x v="0"/>
    <x v="0"/>
    <s v="-1.0"/>
    <s v="NULL"/>
    <s v="Neutral"/>
    <x v="0"/>
    <x v="1"/>
    <s v="Positif"/>
  </r>
  <r>
    <x v="821"/>
    <x v="4"/>
    <x v="67"/>
    <d v="1899-12-30T01:34:00"/>
    <s v="&quot;Gampang eror...dr td beli pulsa tidak masuk&quot;..padahal LG urgent banget,pusat bantuan nya juga tidak berfungsi.. untuk apa ada pusat bantuan klo TDK bisa mengatasi masalah&quot;"/>
    <x v="0"/>
    <x v="0"/>
    <x v="0"/>
    <s v="-1.0"/>
    <s v="NULL"/>
    <s v="Positive"/>
    <x v="0"/>
    <x v="2"/>
    <s v="Positif"/>
  </r>
  <r>
    <x v="822"/>
    <x v="1"/>
    <x v="67"/>
    <d v="1899-12-30T01:10:00"/>
    <s v="&quot;Jelek bet jaringan nya bikin toxic terus kalau lagi nge game sangat ampas bet sumpah dah ga pernah di benerin apa kali yak padahal juga bbyak yg komplen hadehh JARINGAN NYA 0/10 ALIAS AMPAS, dan satu lagi aplikasi XL nya juga suka nge bug ga jelas kadang ga bisa di buka dan juga ga ada opsi buat beli paket yang biasa sya beli&quot;"/>
    <x v="0"/>
    <x v="0"/>
    <x v="0"/>
    <s v="-1.0"/>
    <s v="NULL"/>
    <s v="Neutral"/>
    <x v="0"/>
    <x v="1"/>
    <s v="Positif"/>
  </r>
  <r>
    <x v="823"/>
    <x v="1"/>
    <x v="67"/>
    <d v="1899-12-30T16:14:00"/>
    <s v="&quot;Mohon maaf pak/bu, to the point, kenapa kinerja xl kian hari kian menurun? Semoga xl bisa mengembalikan kenyamanan para pengguna xl seperti dulu lagi.&quot;"/>
    <x v="1"/>
    <x v="1"/>
    <x v="1"/>
    <s v="0.0"/>
    <s v="NULL"/>
    <s v="Neutral"/>
    <x v="1"/>
    <x v="1"/>
    <s v="Netral"/>
  </r>
  <r>
    <x v="824"/>
    <x v="4"/>
    <x v="67"/>
    <d v="1899-12-30T15:52:00"/>
    <s v="&quot;Sinyal kurang stabil.. Mohon di perbaiki jangkauan wilayah sinyal... Agar lebih baik.. Dan bisa di nikmati berbagai wilayah. Dan perluas jaringan agar banyak lagi pengguna xl. Ã°Å¸â„¢Â&quot;"/>
    <x v="1"/>
    <x v="1"/>
    <x v="1"/>
    <s v="0.0"/>
    <s v="NULL"/>
    <s v="Neutral"/>
    <x v="1"/>
    <x v="1"/>
    <s v="Netral"/>
  </r>
  <r>
    <x v="825"/>
    <x v="1"/>
    <x v="67"/>
    <d v="1899-12-30T14:38:00"/>
    <s v="&quot;Saya ke sini mau komplain, kenapa saya perpanjang paketan, jadi Lemot/kecepatan per mb di batasi, tidak bisa buat main Game/Nonton YouTube, muter muter terus&quot;"/>
    <x v="0"/>
    <x v="0"/>
    <x v="0"/>
    <s v="-1.0"/>
    <s v="NULL"/>
    <s v="Neutral"/>
    <x v="0"/>
    <x v="1"/>
    <s v="Positif"/>
  </r>
  <r>
    <x v="826"/>
    <x v="1"/>
    <x v="67"/>
    <d v="1899-12-30T14:22:00"/>
    <s v="&quot;maaf saya mau tanya, my xl saya kenapa iyaa saya mau paketin data di my xl tapi gak bisa&quot; iyaa ?? padahal saya sudah restart dan bersihkan aplikasi dan dwonload ulang my xl tapi tetap tidak bisa buat paketiin data di my xl... tolong di bantu&quot;"/>
    <x v="1"/>
    <x v="1"/>
    <x v="1"/>
    <s v="0.0"/>
    <s v="NULL"/>
    <s v="Neutral"/>
    <x v="1"/>
    <x v="1"/>
    <s v="Netral"/>
  </r>
  <r>
    <x v="827"/>
    <x v="1"/>
    <x v="67"/>
    <d v="1899-12-30T11:30:00"/>
    <s v="&quot;lucu xl ini jaringan nya, 4G+ signal penuh, kuota ku ada 10GB, tapi sudah sebulan ini, di handphone tidak ada koneksi, ganti ke indosat, okey banget lancar, artinya handphone ku nggak ada masalah, yg bermasalah jaringan XL, bisnis rugi garaÃ‚Â² pakai jaringan XL&quot;"/>
    <x v="0"/>
    <x v="0"/>
    <x v="0"/>
    <s v="-1.0"/>
    <s v="NULL"/>
    <s v="Neutral"/>
    <x v="0"/>
    <x v="1"/>
    <s v="Positif"/>
  </r>
  <r>
    <x v="828"/>
    <x v="1"/>
    <x v="68"/>
    <d v="1899-12-30T08:47:00"/>
    <s v="&quot;Sudah 3 bulan ini ga bisa buka apk myxl. Sudah sering buat ulasan balasannya cuma hub maya, clear cache. Itu2 trs sangat ga membantu mau Dicoba 100x pun tetap ga bisa. Ã°Å¸ËœË†Ã°Å¸ËœË†Ã°Å¸ËœË†&quot;"/>
    <x v="0"/>
    <x v="0"/>
    <x v="0"/>
    <s v="-1.0"/>
    <s v="NULL"/>
    <s v="Positive"/>
    <x v="0"/>
    <x v="2"/>
    <s v="Positif"/>
  </r>
  <r>
    <x v="829"/>
    <x v="1"/>
    <x v="68"/>
    <d v="1899-12-30T08:42:00"/>
    <s v="&quot;Mengapa bonus selalu melalui myxl app kenapa gak langsung otomatis gue udah lama pakai XL sampai berapa kali ganti no selalu pakai XL ...tapi sekarang gue jadi kecewa ....jadi untuk internet gu stop pakai XL ...sinyal selalu lemot .... tower dimana mana di kuasai XL ....percuma banyak tower tapi sinyalnya minus ...bahkan di tengah kota besar pun sinyalnya minta ampun lemotnya apa lagi di daerah pelosok ....&quot;"/>
    <x v="0"/>
    <x v="0"/>
    <x v="0"/>
    <s v="-1.0"/>
    <s v="NULL"/>
    <s v="Neutral"/>
    <x v="0"/>
    <x v="1"/>
    <s v="Positif"/>
  </r>
  <r>
    <x v="830"/>
    <x v="1"/>
    <x v="68"/>
    <d v="1899-12-30T04:04:00"/>
    <s v="&quot;Haduh pusing deh di bikin jaringan xl , Tiba tiba setiap siang hari mati muluuu ,. Kalo mati nya sebentar mah gak apa apa ini malah mau setengah hari kaga nyala nyala , Pokok ny ga puasss , Belik paket mahal mahal&quot;"/>
    <x v="0"/>
    <x v="0"/>
    <x v="0"/>
    <s v="-1.0"/>
    <s v="NULL"/>
    <s v="Neutral"/>
    <x v="0"/>
    <x v="1"/>
    <s v="Positif"/>
  </r>
  <r>
    <x v="831"/>
    <x v="1"/>
    <x v="68"/>
    <d v="1899-12-30T02:49:00"/>
    <s v="&quot;MyXL tolong minta perhatiannya sudah dari bulan Juli sampai desember poin saya tidak ad penambahan. Masalahnya saya tetep beli paketnya di myXL.... Untuk masalah ini tolong kejelasannya.&quot;"/>
    <x v="1"/>
    <x v="1"/>
    <x v="1"/>
    <s v="0.0"/>
    <s v="NULL"/>
    <s v="Neutral"/>
    <x v="1"/>
    <x v="1"/>
    <s v="Netral"/>
  </r>
  <r>
    <x v="832"/>
    <x v="2"/>
    <x v="68"/>
    <d v="1899-12-30T23:14:00"/>
    <s v="&quot;Pada aplikasi ditambahkan menu layanan untuk xlhome, baik pengaduan, pemeliharaan, dan ulasan. Sehingga jika kita ingin melakukan pengaduan atau layanan apapun bisa melalui 1 aplikasi (myXL) tanpa harus melakukan panggilan telefon.&quot;"/>
    <x v="1"/>
    <x v="1"/>
    <x v="1"/>
    <s v="0.0"/>
    <s v="NULL"/>
    <s v="Neutral"/>
    <x v="1"/>
    <x v="1"/>
    <s v="Netral"/>
  </r>
  <r>
    <x v="833"/>
    <x v="1"/>
    <x v="68"/>
    <d v="1899-12-30T22:14:00"/>
    <s v="&quot;Pengen perpanjang paket data yg harga 69000, sy isi pulsa, dan dipaksa sy ada 74000, masa tau2 besok nya lenyap tinggal 24.000 yg 50.000 kemana??? Padahal ngak ada riwayat transaksi sama sekali di aplikasi xl nya. Tolong lah balikin pulsa sya&quot;"/>
    <x v="0"/>
    <x v="0"/>
    <x v="0"/>
    <s v="-1.0"/>
    <s v="NULL"/>
    <s v="Neutral"/>
    <x v="0"/>
    <x v="1"/>
    <s v="Positif"/>
  </r>
  <r>
    <x v="834"/>
    <x v="1"/>
    <x v="68"/>
    <d v="1899-12-30T01:47:00"/>
    <s v="&quot;Saya diberi Kartu Satu XL sbg pelanggan setia xl home 25.000 dapat 15 Gb sebulan. saya sdh menggunakan XL home selama 3 thn. habis ga habis kuota 15 GB akan hangus bulan depan kuotanya.. bulan pertama sisa kuota 11 GB hangus jadi awal bulan kembali 15 GB. bulan kedua sisa 600 MB &amp; parahnya di tgl 1 Des kuota dulu ga hangus dan tdk ditambah .. saya menghubungi Gangguan 820 dan di trima dgn nomer pengaduan C26373.. dijanjikan paling cepat 1 x 24 paling lama 3x24 jam sampai 5x24 ga ditambah parah&quot;"/>
    <x v="1"/>
    <x v="1"/>
    <x v="1"/>
    <s v="0.0"/>
    <s v="NULL"/>
    <s v="Neutral"/>
    <x v="1"/>
    <x v="1"/>
    <s v="Netral"/>
  </r>
  <r>
    <x v="835"/>
    <x v="1"/>
    <x v="68"/>
    <d v="1899-12-30T17:54:00"/>
    <s v="&quot;Tolong setelah update kok makin error saja, terutama saat maen game online sinyal nya error,ping ny pun merah , tlng di perbaiki jaringan nya,jika tidak para pelanggan akan pindah ke operator lain...&quot;"/>
    <x v="1"/>
    <x v="1"/>
    <x v="1"/>
    <s v="0.0"/>
    <s v="NULL"/>
    <s v="Negative"/>
    <x v="1"/>
    <x v="0"/>
    <s v="Netral"/>
  </r>
  <r>
    <x v="836"/>
    <x v="4"/>
    <x v="68"/>
    <d v="1899-12-30T10:20:00"/>
    <s v="&quot;Aplikasi myXL sangat membantu dalam informasi sisa pulsa serta info kuota paket yg tersisa dan fasilitas lainnya,semoga kedepannya aplikasi myXL banyak program2 Discount,Bonus serta Promo2 yg memberikan kemudah2 dalam pelayanan untuk penguna layanan XL,ini sangat penting dan perlu diingat bahwa XL dapat berkembang dan maju hingga kini karena pelanggan setia penguna XL, jadi utamakan pelanggan dan berikan pelayanan prioritas ke pelanggan jangan melihat Kasta atau Status Sosial Nya.Salam Mulyadi&quot;"/>
    <x v="2"/>
    <x v="2"/>
    <x v="2"/>
    <s v="1.0"/>
    <s v="NULL"/>
    <s v="Neutral"/>
    <x v="0"/>
    <x v="1"/>
    <s v="Positif"/>
  </r>
  <r>
    <x v="837"/>
    <x v="0"/>
    <x v="68"/>
    <d v="1899-12-30T00:20:00"/>
    <s v="&quot;Aplikasi ini sangat mambantu saya dengan baikk, namun ada satu hal yang menurut saya kurang yaitu pembayaran via Bank hanya bisa satu bank, jadi tolong tambah lagi pembayaran via banknya ya jangan cuma ke satu bank saja devploper terimkasih&quot;"/>
    <x v="2"/>
    <x v="2"/>
    <x v="2"/>
    <s v="1.0"/>
    <s v="NULL"/>
    <s v="Neutral"/>
    <x v="0"/>
    <x v="1"/>
    <s v="Positif"/>
  </r>
  <r>
    <x v="838"/>
    <x v="1"/>
    <x v="69"/>
    <d v="1899-12-30T00:47:00"/>
    <s v="&quot;Sudah lama pakai myXL, tapi beberapa hari ini waktu dipakai aplikasinya gak merespon. Setelah diperbarui juga gak ada perubahan, setiap mau transaksi pembelian kuota pasti aplikasinya gak merespon trus langsung keluar sendiri. Sudah di coba beberapa kali juga masih sama. Mohon diperbaiki.&quot;"/>
    <x v="1"/>
    <x v="1"/>
    <x v="1"/>
    <s v="0.0"/>
    <s v="NULL"/>
    <s v="Neutral"/>
    <x v="1"/>
    <x v="1"/>
    <s v="Netral"/>
  </r>
  <r>
    <x v="839"/>
    <x v="4"/>
    <x v="70"/>
    <d v="1899-12-30T06:51:00"/>
    <s v="&quot;Selalu ada tulisan maaf my xl tidak menanggapi, akhirnya terpaksa saya keluar, dan itu bagaimana tanggapan dari developer perusahaan xl, kenapa tidak konsisten dengan masalah masalah seperti ini, sekecil apapun masalahnya, bisa berdampak buruk bagi pengguna, ingat itu. Dan satu lagi, saya punya bonus scan tapi tidak bisa di pake, udah 2x beli voucer, semua bonus scan tidak bisa di aktifkan,&quot;"/>
    <x v="0"/>
    <x v="0"/>
    <x v="0"/>
    <s v="-1.0"/>
    <s v="NULL"/>
    <s v="Positive"/>
    <x v="0"/>
    <x v="2"/>
    <s v="Positif"/>
  </r>
  <r>
    <x v="840"/>
    <x v="1"/>
    <x v="70"/>
    <d v="1899-12-30T05:31:00"/>
    <s v="&quot;halo, ini kenapa gabisa dibuka app xl nya?? udah minta bantuan tanggepan nya lelet bgt, nunggu kepotong trus pulsa nya, ada apasi sma xl? bales ulasan make link bukan nya bales sesuai kritikan, gimna si ini hadeuh cape bgt, update aja trus tapi gaada feedback ke pengguna!&quot;"/>
    <x v="0"/>
    <x v="0"/>
    <x v="0"/>
    <s v="-1.0"/>
    <s v="NULL"/>
    <s v="Neutral"/>
    <x v="0"/>
    <x v="1"/>
    <s v="Positif"/>
  </r>
  <r>
    <x v="841"/>
    <x v="1"/>
    <x v="70"/>
    <d v="1899-12-30T04:51:00"/>
    <s v="&quot;Payahhhhh bangeeetttttt Setiap mau beli paket tulisanya terjadi kesalahan terus, mana beli paketnya harus lewat aplikasi lagi, mending klo app nya normal ini app nya bobrok bgt!!!!!!!&quot;"/>
    <x v="0"/>
    <x v="0"/>
    <x v="0"/>
    <s v="-1.0"/>
    <s v="NULL"/>
    <s v="Neutral"/>
    <x v="0"/>
    <x v="1"/>
    <s v="Positif"/>
  </r>
  <r>
    <x v="842"/>
    <x v="1"/>
    <x v="70"/>
    <d v="1899-12-30T04:39:00"/>
    <s v="&quot;Ini sih bukan perbaikan.. Malah semakin BURUK.... BANYAK YG GA KEBUKANYA. apakah sudah Diuji terlebih dulu sblm di sebarkan? Dan anehnya jaringan internet sekarang2 hampir sama dengan provider simerah sinyal full tp internet off, apakah jaringan pesaing berat XL ini 1 tower, saling numpang pemancar gitu..? Penyakitnya bisa sama gini.. Saya aktifin kuota XL dan Simerah, dua2nya penyakitnya sama, saingan harus menyamai yaaahh Ã°Å¸Â¤â€Ã°Å¸Â¤â€&quot;"/>
    <x v="0"/>
    <x v="0"/>
    <x v="0"/>
    <s v="-1.0"/>
    <s v="NULL"/>
    <s v="Neutral"/>
    <x v="0"/>
    <x v="1"/>
    <s v="Positif"/>
  </r>
  <r>
    <x v="843"/>
    <x v="3"/>
    <x v="70"/>
    <d v="1899-12-30T04:39:00"/>
    <s v="&quot;makin lama kq makin gak jelas gini seh jaringan nya? buat masuk aplikasi My XL aja gak bisa! tolong lah diperkuat lagi jaringan nya meskipun hujan badai ttp stay gitu. saya pengguna lama loh dikartu XL ini.&quot;"/>
    <x v="1"/>
    <x v="1"/>
    <x v="1"/>
    <s v="0.0"/>
    <s v="NULL"/>
    <s v="Neutral"/>
    <x v="1"/>
    <x v="1"/>
    <s v="Netral"/>
  </r>
  <r>
    <x v="844"/>
    <x v="1"/>
    <x v="70"/>
    <d v="1899-12-30T04:09:00"/>
    <s v="&quot;Aplikasi apa ini setelah update/sebelum update masa saya gak bisa cek kouta padahal masih banyak pulsanya.Dan juga di aplikasi ada tulisan &quot;GAGAL MEMUAT DATA COBA LAGI&quot; Kenapa ini tolong di jawabÃ°Å¸ËœÂ¡&quot;"/>
    <x v="0"/>
    <x v="0"/>
    <x v="0"/>
    <s v="-1.0"/>
    <s v="NULL"/>
    <s v="Neutral"/>
    <x v="0"/>
    <x v="1"/>
    <s v="Positif"/>
  </r>
  <r>
    <x v="845"/>
    <x v="1"/>
    <x v="70"/>
    <d v="1899-12-30T04:06:00"/>
    <s v="&quot;Seharusnya saya baca dulu ulasan yang lain. Saya dapat bonus xtra kuota yg harus diklaim dari aplikasi myXL ini. Saya mau klaim 30 menit setelah isi pulsa. Tapi yg terjadi hanyalah HARAPAN PALSU. BONUS TIDAK BISA DI KLAIM SELALU MUNCUL NOTIF KESALAHAN SAAT MAU KONFIRMASI. Saya pikir dgn laporan kinerja baik XL awal tahun menjadikannya lbh baik tapi kenyataannya malah membuat PERUSAHAAN INI SEMAKIN TULI KRITIK !!&quot;"/>
    <x v="0"/>
    <x v="0"/>
    <x v="0"/>
    <s v="-1.0"/>
    <s v="NULL"/>
    <s v="Positive"/>
    <x v="0"/>
    <x v="2"/>
    <s v="Positif"/>
  </r>
  <r>
    <x v="846"/>
    <x v="1"/>
    <x v="70"/>
    <d v="1899-12-30T04:05:00"/>
    <s v="&quot;sistim bokbrok sekali , sebelum di update bagus'' ajah bisa masuk apk , kenapa setelah versi teranyar malah gak ada kuotaÃ°Å¸Ëœâ€š jelas'' kuota banyak ttep ngotot maaf kuota anda habis ,gila memang AUTO HAPUSSS GAK GUNAA BGSD!!!!!!!&quot;"/>
    <x v="0"/>
    <x v="0"/>
    <x v="0"/>
    <s v="-1.0"/>
    <s v="NULL"/>
    <s v="Neutral"/>
    <x v="0"/>
    <x v="1"/>
    <s v="Positif"/>
  </r>
  <r>
    <x v="847"/>
    <x v="2"/>
    <x v="70"/>
    <d v="1899-12-30T04:01:00"/>
    <s v="&quot;XL sudah bagus jaringannya dan bisa dipakai di seluruh pelosok daerah , center call nya ramah dan dijawab dengan jelas dan mudah dimengerti , Security buka account nya sangat teliti ,dan produk XL terus update dan masih menunggu 5G .&quot;"/>
    <x v="2"/>
    <x v="2"/>
    <x v="2"/>
    <s v="1.0"/>
    <s v="NULL"/>
    <s v="Positive"/>
    <x v="0"/>
    <x v="2"/>
    <s v="Positif"/>
  </r>
  <r>
    <x v="848"/>
    <x v="1"/>
    <x v="70"/>
    <d v="1899-12-30T03:37:00"/>
    <s v="&quot;Kenapa ngambil bonus kuota harus lewat apk my XL, Bayangin lu isi pulsa trus dapet bonus,ngambil nya di my XL otomatis kan lu aktifin data, dan lu tau kan apa yg terjadi,,,,,,,, yap,, pulsa anda terpotong,,, gak jadi beli kuota, ,,,, kan sesat sekali&quot;"/>
    <x v="0"/>
    <x v="0"/>
    <x v="0"/>
    <s v="-1.0"/>
    <s v="NULL"/>
    <s v="Positive"/>
    <x v="0"/>
    <x v="2"/>
    <s v="Positif"/>
  </r>
  <r>
    <x v="849"/>
    <x v="1"/>
    <x v="70"/>
    <d v="1899-12-30T02:23:00"/>
    <s v="&quot;Meski sinyal bagus tetapi pemotongan pulsa yang terus berjalan meski tidak menggunakan layanan internet menjadi satu hal yang sangat merugikan customer XL. Belum tau kedepannya apakah masih menggunakan operator XL apa tidak. karena operator lain tidak akan memotong pulsa ketika saya menggunakan XL untuk berinternet.&quot;"/>
    <x v="1"/>
    <x v="1"/>
    <x v="1"/>
    <s v="0.0"/>
    <s v="NULL"/>
    <s v="Neutral"/>
    <x v="1"/>
    <x v="1"/>
    <s v="Netral"/>
  </r>
  <r>
    <x v="850"/>
    <x v="1"/>
    <x v="70"/>
    <d v="1899-12-30T17:13:00"/>
    <s v="&quot;Buat main game lemot gabisa masuk dalam permainan FF aku menggunakan xl unlimited, buruksekali baru kali ini bawa game ff gabisa masuk lobby pake jaringan kentang !!!!!!!!!!&quot;"/>
    <x v="0"/>
    <x v="0"/>
    <x v="0"/>
    <s v="-1.0"/>
    <s v="NULL"/>
    <s v="Positive"/>
    <x v="0"/>
    <x v="2"/>
    <s v="Positif"/>
  </r>
  <r>
    <x v="851"/>
    <x v="2"/>
    <x v="70"/>
    <d v="1899-12-30T15:47:00"/>
    <s v="&quot;Allhamdulillah ada perubahan tolong dikembangkan dalam mengolah jaringan...! Segala bentuk ucapan terkadang menyakiti perasaan orang tanpa kita sadari tapi dikala penyesalan itu datang persaan jdi sedu sedan ingin rasanya menghukum diri sendiri dari apa yg kita ucapkan tadi.Maaf beribu maaf dik Maya...&quot;"/>
    <x v="2"/>
    <x v="2"/>
    <x v="2"/>
    <s v="1.0"/>
    <s v="NULL"/>
    <s v="Neutral"/>
    <x v="0"/>
    <x v="1"/>
    <s v="Positif"/>
  </r>
  <r>
    <x v="852"/>
    <x v="1"/>
    <x v="70"/>
    <d v="1899-12-30T15:35:00"/>
    <s v="&quot;Ini kenapa sudah 2 Minggu signal xl gk bagus,, susah jadi buat mobile,, Bikin orang jadi susah buat keperluan sehari-hari,, Harus ganti kartu seperti nya XL susah sangat buruk&quot;"/>
    <x v="0"/>
    <x v="0"/>
    <x v="0"/>
    <s v="-1.0"/>
    <s v="NULL"/>
    <s v="Neutral"/>
    <x v="0"/>
    <x v="1"/>
    <s v="Positif"/>
  </r>
  <r>
    <x v="853"/>
    <x v="1"/>
    <x v="70"/>
    <d v="1899-12-30T15:27:00"/>
    <s v="&quot;tolong dong kuota malam nya jgn banyakÃ‚Â² lahh, hrusnya ditaruh di 24 jam semua jaringan aja, soalnya buat sekolah dll... sayang kuota malam nya lah masih bnyk bgt tpi g ke pakai, lgian sapa yg mau pakai? mungkin hny sebagian org saja yg pakai, wktu tidur masa suruh bangun tengah mlm ?mohon kebijakannya.&quot;"/>
    <x v="1"/>
    <x v="1"/>
    <x v="1"/>
    <s v="0.0"/>
    <s v="NULL"/>
    <s v="Negative"/>
    <x v="1"/>
    <x v="0"/>
    <s v="Netral"/>
  </r>
  <r>
    <x v="854"/>
    <x v="2"/>
    <x v="70"/>
    <d v="1899-12-30T15:25:00"/>
    <s v="&quot;Saya pelanggan XL setia, Kasih Bonus yang banyak dongÃ°Å¸ËœÂÃ°Å¸ËœÂ. sayati-ganti nomor karena hilang sama hpnya. kalau bisa, apakah pihak xl bisa melacak keberadaan hp saya?. Terimakasih Ã°Å¸â„¢ÂÃ°Å¸â„¢ÂÃ°Å¸â„¢Â&quot;"/>
    <x v="1"/>
    <x v="1"/>
    <x v="1"/>
    <s v="0.0"/>
    <s v="NULL"/>
    <s v="Positive"/>
    <x v="1"/>
    <x v="2"/>
    <s v="Netral"/>
  </r>
  <r>
    <x v="855"/>
    <x v="3"/>
    <x v="70"/>
    <d v="1899-12-30T12:59:00"/>
    <s v="&quot;Di solo jawa tengah xl sering terjadi gangguan terkadang sinyal gak muncul sama sekali,kuota xl masih banyak pulsa juga ada. Dimohon dari pihak xl segera memperbaiki jaringan dikarena mengganggu aktivitas kerjaan&quot;"/>
    <x v="1"/>
    <x v="1"/>
    <x v="1"/>
    <s v="0.0"/>
    <s v="NULL"/>
    <s v="Neutral"/>
    <x v="1"/>
    <x v="1"/>
    <s v="Netral"/>
  </r>
  <r>
    <x v="856"/>
    <x v="1"/>
    <x v="70"/>
    <d v="1899-12-30T12:47:00"/>
    <s v="&quot;Jatuh tempo katanya tgl 22 jun 21, diisi pulsa 25rb tgl 15 jun 21 kenapa jatuh temponya tgl 15 juli 21 ??? Katanya isi pulsa 25rb masa aktif 30 hari?? Tgl yg sama tgl 15 jun 21 pulsa ditambah lagi 25rb kenapa masa aktifnya tetap???? (Tgl 15 juli 21) Tgl 3/12/2021 isi pulsa 100.000 ko masa aktifnya 30 hari? Isi pulsa 30.000 juga 30 hari Isi banyak-banyak RUGII8II&quot;"/>
    <x v="0"/>
    <x v="0"/>
    <x v="0"/>
    <s v="-1.0"/>
    <s v="NULL"/>
    <s v="Neutral"/>
    <x v="0"/>
    <x v="1"/>
    <s v="Positif"/>
  </r>
  <r>
    <x v="857"/>
    <x v="1"/>
    <x v="70"/>
    <d v="1899-12-30T12:17:00"/>
    <s v="&quot;sudah 5 hari ini di jawa timur jaringan xl sangat susah , saya kira problem hp ternyata jaringan , tolong segera dibenah i !!!, kalau seperti ini terus customer bisa pindah ke sebelah saja tidak ada perbaikan !!!!&quot;"/>
    <x v="0"/>
    <x v="0"/>
    <x v="0"/>
    <s v="-1.0"/>
    <s v="NULL"/>
    <s v="Negative"/>
    <x v="0"/>
    <x v="0"/>
    <s v="Positif"/>
  </r>
  <r>
    <x v="858"/>
    <x v="3"/>
    <x v="70"/>
    <d v="1899-12-30T11:44:00"/>
    <s v="&quot;Harga paketan murah dan sesuai. Tapi sekarang saya sangat kecewa dengan signalnya ...dulu lancar jaya...tapi makin kesini semakin buruk... parah..bahkan hilang. Tolong dong xl di perbaiki...sebelum kami para pengguna xl berpindah ke provider lain...&quot;"/>
    <x v="1"/>
    <x v="1"/>
    <x v="1"/>
    <s v="0.0"/>
    <s v="NULL"/>
    <s v="Neutral"/>
    <x v="1"/>
    <x v="1"/>
    <s v="Netral"/>
  </r>
  <r>
    <x v="859"/>
    <x v="1"/>
    <x v="70"/>
    <d v="1899-12-30T00:38:00"/>
    <s v="&quot;Aneh banget saya bikin paket kemarin yg 7 hari 11 Gb.. trus bsoknya saya tambah paket yg 7 hari juga tapi yg cuma 3 Gb aja. tapi pas buka apk Myxl malah paket saya 7gb kehapus atau paket saya yg 11Gb hilang gitu aja pas tambah paket 3Gb.. Hiissss&quot;"/>
    <x v="1"/>
    <x v="1"/>
    <x v="1"/>
    <s v="0.0"/>
    <s v="NULL"/>
    <s v="Neutral"/>
    <x v="1"/>
    <x v="1"/>
    <s v="Netral"/>
  </r>
  <r>
    <x v="860"/>
    <x v="1"/>
    <x v="71"/>
    <d v="1899-12-30T05:39:00"/>
    <s v="&quot;Ini kenapa sih kok jadi susah... Mau lihat sisa data aja gk keluar2.. Tadi aja bisa masih 11gb.. Sekarang muncul tulisan gagal memuat data. Gitu terus.. Pdhal sudah di update&quot;"/>
    <x v="0"/>
    <x v="0"/>
    <x v="0"/>
    <s v="-1.0"/>
    <s v="NULL"/>
    <s v="Neutral"/>
    <x v="0"/>
    <x v="1"/>
    <s v="Positif"/>
  </r>
  <r>
    <x v="861"/>
    <x v="1"/>
    <x v="71"/>
    <d v="1899-12-30T04:32:00"/>
    <s v="&quot;Sebelumnya mohon maaf, saya dari dulu selalu memberikan bintang lima karena saya puas dengan layanannya. Tapi makin kesini kok makin aneh rasanya, bonusnya ga bisa di klaim padahal udah memenuhi syarat, dan sekarang point my xl nya udah ga ada.&quot;"/>
    <x v="1"/>
    <x v="1"/>
    <x v="1"/>
    <s v="0.0"/>
    <s v="NULL"/>
    <s v="Neutral"/>
    <x v="1"/>
    <x v="1"/>
    <s v="Netral"/>
  </r>
  <r>
    <x v="862"/>
    <x v="3"/>
    <x v="71"/>
    <d v="1899-12-30T03:23:00"/>
    <s v="&quot;Udah lama pake, tapi jaringan jarang banget stabil, apalagi malam, saat main game, terkadang 4G/sinyalnya(darurat) tiba2 hilang, bukan tambah connect malah AFK. Trimakasih&quot;"/>
    <x v="1"/>
    <x v="1"/>
    <x v="1"/>
    <s v="0.0"/>
    <s v="NULL"/>
    <s v="Neutral"/>
    <x v="1"/>
    <x v="1"/>
    <s v="Netral"/>
  </r>
  <r>
    <x v="863"/>
    <x v="1"/>
    <x v="71"/>
    <d v="1899-12-30T03:01:00"/>
    <s v="&quot;Beli kuota 30gb yang masuk cuma 13gb. Setelah komplen lama banget prosesnya. Ditunggu berminggu minggu baru masuk yang 6gb, 11gb ga ada sampe skarang. Saya komplen lagi, saya kirim hasil ss dan sudah jelas disitu jumlah kuota yang masuk tidak sesuai malah jawabnya kuotanya sudah sesuai. Baru tau saya ternyata selama ini 13+6=30. Bukanmaen.&quot;"/>
    <x v="0"/>
    <x v="0"/>
    <x v="0"/>
    <s v="-1.0"/>
    <s v="NULL"/>
    <s v="Neutral"/>
    <x v="0"/>
    <x v="1"/>
    <s v="Positif"/>
  </r>
  <r>
    <x v="864"/>
    <x v="1"/>
    <x v="71"/>
    <d v="1899-12-30T19:16:00"/>
    <s v="&quot;Hay semua pelanggan Xl sekarang xl udah mulai lemah pindah ke kartu as bang abang banyak promo super diskon wow rata&quot;jawa timur sekarang udh pindah di kartu as sinyal ok no lag siap tempur.....Xl promo diskon di gedein sinyal lemah....semenjak bagi 2 dgn exsis sinyal mulai memburuk sinyal Xl sekarang paling buruk&quot;"/>
    <x v="0"/>
    <x v="0"/>
    <x v="0"/>
    <s v="-1.0"/>
    <s v="NULL"/>
    <s v="Positive"/>
    <x v="0"/>
    <x v="2"/>
    <s v="Positif"/>
  </r>
  <r>
    <x v="865"/>
    <x v="1"/>
    <x v="71"/>
    <d v="1899-12-30T17:44:00"/>
    <s v="&quot;Malah semakin parah jaringan,hilang hilang mulu,..tau tau hilang...ni maksutnya gimana...!!?? ,jaringan/sinyal kacau parah.. Kecewa ngisi pketan yg VIP,.jringan/siyal kacau.. 96% parah&quot;"/>
    <x v="0"/>
    <x v="0"/>
    <x v="0"/>
    <s v="-1.0"/>
    <s v="NULL"/>
    <s v="Neutral"/>
    <x v="0"/>
    <x v="1"/>
    <s v="Positif"/>
  </r>
  <r>
    <x v="866"/>
    <x v="1"/>
    <x v="71"/>
    <d v="1899-12-30T17:25:00"/>
    <s v="&quot;Tiap hari jumping melulu nih sinyal, bikin orang stres aja, mood yg awalnya baik baik aja eh di kasih jumping udh kaya orang stres, macam bot aja sih gerai si gitu gedenya ga bisa memberikan kenyamanan consumer Ã°Å¸â€˜Å½Ã°Å¸â€˜Å½Ã°Å¸â€˜Å½Ã°Å¸â€˜Å½Ã°Å¸â€˜Å½, Jangan mau pake xl akhir akhir ini percuma beli kuota gede gede sinyalnya udh kaya edge!!!!!!&quot;"/>
    <x v="0"/>
    <x v="0"/>
    <x v="0"/>
    <s v="-1.0"/>
    <s v="NULL"/>
    <s v="Neutral"/>
    <x v="0"/>
    <x v="1"/>
    <s v="Positif"/>
  </r>
  <r>
    <x v="867"/>
    <x v="1"/>
    <x v="71"/>
    <d v="1899-12-30T15:20:00"/>
    <s v="&quot;Saya kan dapat paket unlimited ig, fb, dan viu. Yang saya heran, kenapa ngak bisa dipake yang buat kuota viunya? Udh di restart, udh di hidup matiin juga, tapi ttp ngk bisa. Kalau ngak niat ngasih unlimited, jangan di kasih dong.&quot;"/>
    <x v="0"/>
    <x v="0"/>
    <x v="0"/>
    <s v="-1.0"/>
    <s v="NULL"/>
    <s v="Neutral"/>
    <x v="0"/>
    <x v="1"/>
    <s v="Positif"/>
  </r>
  <r>
    <x v="868"/>
    <x v="1"/>
    <x v="71"/>
    <d v="1899-12-30T14:35:00"/>
    <s v="&quot;Saya sudah lama menjadi pengguna XL yang loyal, tapi tidak pernah mendapatkan diskonan yang sangat besar.berbeda dengan para pengguna XL baru,mereka berkali-kali mendapatkan diskonan yg besar Ni maksud XL kont- gimana?!&quot;"/>
    <x v="0"/>
    <x v="0"/>
    <x v="0"/>
    <s v="-1.0"/>
    <s v="NULL"/>
    <s v="Positive"/>
    <x v="0"/>
    <x v="2"/>
    <s v="Positif"/>
  </r>
  <r>
    <x v="869"/>
    <x v="1"/>
    <x v="71"/>
    <d v="1899-12-30T14:03:00"/>
    <s v="&quot;Sangat kecewa sama xl .. Tiap buat game selalu jaringan ilang .. Terus kalo di tempatÃ‚Â² tertentu sinyal merah kuning ... Di sabarÃ‚Â²in malah gini terus terlalu menyepelekan pelangan !!!!!!!!&quot;"/>
    <x v="0"/>
    <x v="0"/>
    <x v="0"/>
    <s v="-1.0"/>
    <s v="NULL"/>
    <s v="Neutral"/>
    <x v="0"/>
    <x v="1"/>
    <s v="Positif"/>
  </r>
  <r>
    <x v="870"/>
    <x v="1"/>
    <x v="71"/>
    <d v="1899-12-30T13:32:00"/>
    <s v="&quot;Saya sudah kecewa dengan XL sya kira kartu 3 atau telkomsel boros ternyata XL lebih parah nyedot kuota padahal gue cuman main game doang dan wa gk pernah ntn streaming yutub dll tp dlm 1 hari dia makan 4GB aplikasi cuman sedikit ... Dr sini gue udh gk mau lg make XL kartu penyedot aja ... Mohon diperbaiki cara hemat kuotanya ini sdh parah parah parah bahkan temen saya pun ngeluh kek saya&quot;"/>
    <x v="0"/>
    <x v="0"/>
    <x v="0"/>
    <s v="-1.0"/>
    <s v="NULL"/>
    <s v="Neutral"/>
    <x v="0"/>
    <x v="1"/>
    <s v="Positif"/>
  </r>
  <r>
    <x v="871"/>
    <x v="1"/>
    <x v="71"/>
    <d v="1899-12-30T12:59:00"/>
    <s v="&quot;isi pulsa 100rb dapat sms gratis kuota unlmted 3 hari ,stlah itu saya ok ,(sy tunggu 3 hari baru beli paket biasa) ,ternyata kuota gratis tidak terpakai ,malah pulsa 100rb hangus untuk kuota biasa ,sungguh PROMO jebakan&quot;"/>
    <x v="0"/>
    <x v="0"/>
    <x v="0"/>
    <s v="-1.0"/>
    <s v="NULL"/>
    <s v="Positive"/>
    <x v="0"/>
    <x v="2"/>
    <s v="Positif"/>
  </r>
  <r>
    <x v="872"/>
    <x v="1"/>
    <x v="71"/>
    <d v="1899-12-30T11:18:00"/>
    <s v="&quot;Gimana sih makin kesini sinyal tambah buruk banget, buat telponan wa putus&quot;, apalagi buat vidcall susah jaringan buruk . Buat buka aplikasi jg lemot,.xl g spt dulu ,ayolah diperbaiki&quot;"/>
    <x v="0"/>
    <x v="0"/>
    <x v="0"/>
    <s v="-1.0"/>
    <s v="NULL"/>
    <s v="Neutral"/>
    <x v="0"/>
    <x v="1"/>
    <s v="Positif"/>
  </r>
  <r>
    <x v="873"/>
    <x v="1"/>
    <x v="71"/>
    <d v="1899-12-30T11:13:00"/>
    <s v="&quot;Sudah uninstal dan instal 5 kali.. namun tetep tidak bisa dibuka.. sudah cek semua aplikasi terinstal juga.. dari aplikasi bawaan samsung.. sampai aplikasi non bawaan.. kecuali my xl.. semua normal.&quot;"/>
    <x v="1"/>
    <x v="1"/>
    <x v="1"/>
    <s v="0.0"/>
    <s v="NULL"/>
    <s v="Neutral"/>
    <x v="1"/>
    <x v="1"/>
    <s v="Netral"/>
  </r>
  <r>
    <x v="874"/>
    <x v="1"/>
    <x v="72"/>
    <d v="1899-12-30T08:24:00"/>
    <s v="&quot;Jaringan nya parah banget. Makin lama makin Lemot aja. buat game aja GK bsa ngelag trus. Nyerap kuota internet nya boros bnget tpi jaringan nya lemot GK sesuai. Jaringan lemot bukannya bikin kuota lebih hemat mlah bikin boros.&quot;"/>
    <x v="0"/>
    <x v="0"/>
    <x v="0"/>
    <s v="-1.0"/>
    <s v="NULL"/>
    <s v="Neutral"/>
    <x v="0"/>
    <x v="1"/>
    <s v="Positif"/>
  </r>
  <r>
    <x v="875"/>
    <x v="1"/>
    <x v="72"/>
    <d v="1899-12-30T08:16:00"/>
    <s v="&quot;Sinyalnya sekarang super lemot. Padahal dulu super ngebut,kecewa sih. Btw bsk ganti provider,udh ga kuat sama lemotnya xl. Kirain bakal ada perbaikan,taunya makin jelek jaringannya.&quot;"/>
    <x v="0"/>
    <x v="0"/>
    <x v="0"/>
    <s v="-1.0"/>
    <s v="NULL"/>
    <s v="Positive"/>
    <x v="0"/>
    <x v="2"/>
    <s v="Positif"/>
  </r>
  <r>
    <x v="876"/>
    <x v="0"/>
    <x v="72"/>
    <d v="1899-12-30T06:09:00"/>
    <s v="&quot;Saran dong, sewaktu ga ada paket supaya bisa buka my xl, jadi mudah untuk mengaktifkan paket. Karna untuk buka my xl aja butuh paket. Kalau axis untuk buka my axis ga pake paket bisa kok, kenapa xl ga bisa, ditingkat kan lagi ya&quot;"/>
    <x v="1"/>
    <x v="1"/>
    <x v="1"/>
    <s v="0.0"/>
    <s v="NULL"/>
    <s v="Neutral"/>
    <x v="1"/>
    <x v="1"/>
    <s v="Netral"/>
  </r>
  <r>
    <x v="877"/>
    <x v="2"/>
    <x v="72"/>
    <d v="1899-12-30T06:02:00"/>
    <s v="&quot;Apk nya !!!!!!!!!!!!!!!!!!!!!!!!!!Ã‚Â¡!!!!!Ã‚Â¡!!!!!!!!!!!!!!!!!!!!!!!!!!!!!!!!!!!!!!!!!!!!!!!!!!!!!!!!!!!!!!!!!!!!!!!!!!!!!! bagus banget&quot;"/>
    <x v="2"/>
    <x v="2"/>
    <x v="2"/>
    <s v="1.0"/>
    <s v="NULL"/>
    <s v="Neutral"/>
    <x v="0"/>
    <x v="1"/>
    <s v="Positif"/>
  </r>
  <r>
    <x v="878"/>
    <x v="1"/>
    <x v="72"/>
    <d v="1899-12-30T03:24:00"/>
    <s v="&quot;Jaringan hancur....Nda cocok di pakai main game,,, Sy yakin banyak komentar sm seperti saya,,!!!! Bru hujan rintik2 jaringan sudah lari kiri kanan nda jelas,,,pihak XL masa kalian tidak ada niat untuk jadi lebih baik lagi melihat komentar2 para pemakai XL yg mengeluh,,. Harus nya kalian harus lebih bagus lagi setelah melihat komentar2 yg tdk baik,,&quot;"/>
    <x v="0"/>
    <x v="0"/>
    <x v="0"/>
    <s v="-1.0"/>
    <s v="NULL"/>
    <s v="Neutral"/>
    <x v="0"/>
    <x v="1"/>
    <s v="Positif"/>
  </r>
  <r>
    <x v="879"/>
    <x v="1"/>
    <x v="72"/>
    <d v="1899-12-30T02:40:00"/>
    <s v="&quot;Sinyal ngelag udah beberapa hari ngelag restart ponsel udah hp kakak,mama,bapak sama gak ada sinyal!!!!!!!!!!!!!! Di Bali penarungan kemarin pas keluar penarungan sinyal nya ada penuh lagi pas balik ke penarungan kosong sinyal nya !!!!!!!!!!! Tolong diperbaiki!!!!!!!!!!!!!!!!!!263+_-#(#!2!!2. Snw&quot;"/>
    <x v="0"/>
    <x v="0"/>
    <x v="0"/>
    <s v="-1.0"/>
    <s v="NULL"/>
    <s v="Neutral"/>
    <x v="0"/>
    <x v="1"/>
    <s v="Positif"/>
  </r>
  <r>
    <x v="880"/>
    <x v="1"/>
    <x v="72"/>
    <d v="1899-12-30T01:32:00"/>
    <s v="&quot;Jelas jelas saya punya kuota internet tapi kenapa pulsa saya masih kesedot sih? Xl ngeselin banget yaa, tolong ini kenapa pulsa saya kesedot waktu hidupin data padahal saya punya kuota.&quot;"/>
    <x v="1"/>
    <x v="1"/>
    <x v="1"/>
    <s v="0.0"/>
    <s v="NULL"/>
    <s v="Neutral"/>
    <x v="1"/>
    <x v="1"/>
    <s v="Netral"/>
  </r>
  <r>
    <x v="881"/>
    <x v="1"/>
    <x v="72"/>
    <d v="1899-12-30T18:59:00"/>
    <s v="&quot;Buset dah....gak di pakai apa apa pulsa berkurang...padahal internet gak aktif...udah kesekian kalinya.....klo gak ada perubahan mendingan pindah aj....&quot;"/>
    <x v="0"/>
    <x v="0"/>
    <x v="0"/>
    <s v="-1.0"/>
    <s v="NULL"/>
    <s v="Neutral"/>
    <x v="0"/>
    <x v="1"/>
    <s v="Positif"/>
  </r>
  <r>
    <x v="882"/>
    <x v="1"/>
    <x v="72"/>
    <d v="1899-12-30T16:53:00"/>
    <s v="&quot;Kartu perdana yang paling buruk, boros kuota, Pulsa saya sering hilang. Sinyalpun jelek, gara_gara kartu xl anda yang katanya 4G tapi sinyal nya kualitas H+ trus. Saya sering kehilangan momen saat bermain game.&quot;"/>
    <x v="0"/>
    <x v="0"/>
    <x v="0"/>
    <s v="-1.0"/>
    <s v="NULL"/>
    <s v="Neutral"/>
    <x v="0"/>
    <x v="1"/>
    <s v="Positif"/>
  </r>
  <r>
    <x v="883"/>
    <x v="3"/>
    <x v="72"/>
    <d v="1899-12-30T16:31:00"/>
    <s v="&quot;Hi xl, knp setelah saya ambil layanan prioritas sinyal sangat lelet, kecepatan download hanya 72kbps kata nya prioritas, mending saya pakai paket biasa kalau gini.&quot;"/>
    <x v="1"/>
    <x v="1"/>
    <x v="1"/>
    <s v="0.0"/>
    <s v="NULL"/>
    <s v="Neutral"/>
    <x v="1"/>
    <x v="1"/>
    <s v="Netral"/>
  </r>
  <r>
    <x v="884"/>
    <x v="1"/>
    <x v="72"/>
    <d v="1899-12-30T16:23:00"/>
    <s v="&quot;Udah keburu beli HP harga mahal pas pertama pakai XL kok sinyalnya jelek banget ya, apakah emg XL seperti ini semua atau gmna, padahal posisi saya di tengah jantung ibukota, kalau di tempat plosok apa nggak mlh tmbah parah sinyalnya&quot;"/>
    <x v="0"/>
    <x v="0"/>
    <x v="0"/>
    <s v="-1.0"/>
    <s v="NULL"/>
    <s v="Neutral"/>
    <x v="0"/>
    <x v="1"/>
    <s v="Positif"/>
  </r>
  <r>
    <x v="885"/>
    <x v="4"/>
    <x v="72"/>
    <d v="1899-12-30T13:21:00"/>
    <s v="&quot;Kenapa ya setiap saya beli pulsa, besoknya suka berkurang 2000 ribu. Contohnya saya malam beli pulsa 20000, blm dipake sama sekali Eh bsknya, saya cek pulsa di myXl, malah jadi 18000?!!!!???&quot;"/>
    <x v="1"/>
    <x v="1"/>
    <x v="1"/>
    <s v="0.0"/>
    <s v="NULL"/>
    <s v="Neutral"/>
    <x v="1"/>
    <x v="1"/>
    <s v="Netral"/>
  </r>
  <r>
    <x v="886"/>
    <x v="1"/>
    <x v="72"/>
    <d v="1899-12-30T11:48:00"/>
    <s v="&quot;Jujur aneh bet xl kuota nya naek mulu tiap bulan ,kalo nomer gw ga tercantum semua account gw udah ganti sumpah .tolong ye buat xl kalo harga di apk xl tuh harus sama kek di konter ,biar kalo gw top up bisa dari rumah. Nyesel sumpah nyesellll&quot;"/>
    <x v="0"/>
    <x v="0"/>
    <x v="0"/>
    <s v="-1.0"/>
    <s v="NULL"/>
    <s v="Positive"/>
    <x v="0"/>
    <x v="2"/>
    <s v="Positif"/>
  </r>
  <r>
    <x v="887"/>
    <x v="1"/>
    <x v="72"/>
    <d v="1899-12-30T10:46:00"/>
    <s v="&quot;Knp sih gw kalo baru masuk my xl keluar sendiri mulu padahal dh hampir unistall download hampir 10x gmn sih???? My Xl gk kaya dulu lagi tolong dong bantu Kalu bisa saya kasi bintang 5&quot;"/>
    <x v="1"/>
    <x v="1"/>
    <x v="1"/>
    <s v="0.0"/>
    <s v="NULL"/>
    <s v="Neutral"/>
    <x v="1"/>
    <x v="1"/>
    <s v="Netral"/>
  </r>
  <r>
    <x v="888"/>
    <x v="2"/>
    <x v="73"/>
    <d v="1899-12-30T05:22:00"/>
    <s v="&quot;Tolong pihak XL untuk sinyal mohon di benarkan, setiap saya streaming/main game selalu ngelag,entah itu pagi siang atau pun malam tolong di perbaiki ya Ã°Å¸â„¢Â&quot;"/>
    <x v="1"/>
    <x v="1"/>
    <x v="1"/>
    <s v="0.0"/>
    <s v="NULL"/>
    <s v="Neutral"/>
    <x v="1"/>
    <x v="1"/>
    <s v="Netral"/>
  </r>
  <r>
    <x v="889"/>
    <x v="1"/>
    <x v="73"/>
    <d v="1899-12-30T05:13:00"/>
    <s v="&quot;Parah beli paketan xtra xombo mini., Dua kali sehari gada yang masuk., Di live chat di puter puter doang sama cs nya., padahal ada bukti foto pembelian. Bangke xl.&quot;"/>
    <x v="0"/>
    <x v="0"/>
    <x v="0"/>
    <s v="-1.0"/>
    <s v="NULL"/>
    <s v="Neutral"/>
    <x v="0"/>
    <x v="1"/>
    <s v="Positif"/>
  </r>
  <r>
    <x v="890"/>
    <x v="1"/>
    <x v="73"/>
    <d v="1899-12-30T19:32:00"/>
    <s v="&quot;Kalo musim hujan sering terjadi gangguan,hilang sinyal, nah pas setiap lagi hilang sinyal saya menghubungi myxlCare terus di cek katanya tidak ada masalah, padahal sinyalnya hilang dan di sekitar saya juga semuanya yang menggunakan xl sinyalnya juga hilang semua. Sebenarnya di daerah saya untuk kecepatannya udah bagus bgt, tapi sayang sering bagt terjadinya gangguan, apalagi kalo musim hujan, gangguan pernah sampe 2 hari&quot;"/>
    <x v="1"/>
    <x v="1"/>
    <x v="1"/>
    <s v="0.0"/>
    <s v="NULL"/>
    <s v="Negative"/>
    <x v="1"/>
    <x v="0"/>
    <s v="Netral"/>
  </r>
  <r>
    <x v="891"/>
    <x v="2"/>
    <x v="73"/>
    <d v="1899-12-30T17:32:00"/>
    <s v="&quot;kenapa kalau kuota utama habis tidak bisa memakai kuota bonus ML nya ya. walpun ada kuota bonus tpi tidak bisa di pakai sama saja bo'ong min. Tolong lebih di tingkatkan lagi,. terimakasih.&quot;"/>
    <x v="2"/>
    <x v="2"/>
    <x v="2"/>
    <s v="1.0"/>
    <s v="NULL"/>
    <s v="Positive"/>
    <x v="0"/>
    <x v="2"/>
    <s v="Positif"/>
  </r>
  <r>
    <x v="892"/>
    <x v="1"/>
    <x v="73"/>
    <d v="1899-12-30T17:24:00"/>
    <s v="&quot;Sinyal suka ilang tiba&quot;. Semakin lemot, buka my XL ya ampun susah bgt. Mw beli kuota susah, banyak kendala. Tolong dong diperbaiki, sudh banyak yg make jgn malah nurunin kualitas.&quot;"/>
    <x v="0"/>
    <x v="0"/>
    <x v="0"/>
    <s v="-1.0"/>
    <s v="NULL"/>
    <s v="Neutral"/>
    <x v="0"/>
    <x v="1"/>
    <s v="Positif"/>
  </r>
  <r>
    <x v="893"/>
    <x v="1"/>
    <x v="73"/>
    <d v="1899-12-30T14:01:00"/>
    <s v="&quot;Jaringan apaan ini main game aja lemotnya bukan main,males sy makenya gak ada gunanya bikin emosi saja. Yg bilang jaringan xl bagus harus periksa di rumah sakit jiwa aja dehhh...sialan tuhh tukang conter nawarin kartu katanya bagus jaringan kuat giliran di pake lemot banget bagaikan kura2 lomba lari ama siput&quot;"/>
    <x v="0"/>
    <x v="0"/>
    <x v="0"/>
    <s v="-1.0"/>
    <s v="NULL"/>
    <s v="Neutral"/>
    <x v="0"/>
    <x v="1"/>
    <s v="Positif"/>
  </r>
  <r>
    <x v="894"/>
    <x v="1"/>
    <x v="73"/>
    <d v="1899-12-30T12:16:00"/>
    <s v="&quot;Saya 2 kali beli kartu paketan xl unlimited. 2x di kecewakan Yg pertama data saya di salah gunakan sama pinjaman online Yg kedua nomornya sudah pernah di pakai org sehingga saya beli kartu baru tapi dapatnya kartu paketan bekas&quot;"/>
    <x v="0"/>
    <x v="0"/>
    <x v="0"/>
    <s v="-1.0"/>
    <s v="NULL"/>
    <s v="Neutral"/>
    <x v="0"/>
    <x v="1"/>
    <s v="Positif"/>
  </r>
  <r>
    <x v="895"/>
    <x v="3"/>
    <x v="73"/>
    <d v="1899-12-30T12:07:00"/>
    <s v="&quot;Ini lagi eror atau gimana? W scan voucher di myxl kaga bisa , muncul &quot;nomor voucher tidak terdaftar &quot; , udah 2 kali kayak gini Padahal dulu ok ok aja , tolong di respon&quot;"/>
    <x v="1"/>
    <x v="1"/>
    <x v="1"/>
    <s v="0.0"/>
    <s v="NULL"/>
    <s v="Positive"/>
    <x v="1"/>
    <x v="2"/>
    <s v="Netral"/>
  </r>
  <r>
    <x v="896"/>
    <x v="2"/>
    <x v="74"/>
    <d v="1899-12-30T08:46:00"/>
    <s v="&quot;puas kalau paket akrabnya bisa di tambah menjadi 8 anggota dan di adakan paket unlimited 30 hari tanpa batas kecepatan khusus nomer-nomer saya ya dan jaringannya di perbaiki lagi agar nomer-nomer saya dapat membawa kecepatan yang maksimal tanpa batas&quot;"/>
    <x v="2"/>
    <x v="2"/>
    <x v="2"/>
    <s v="1.0"/>
    <s v="NULL"/>
    <s v="Neutral"/>
    <x v="0"/>
    <x v="1"/>
    <s v="Positif"/>
  </r>
  <r>
    <x v="897"/>
    <x v="1"/>
    <x v="74"/>
    <d v="1899-12-30T05:10:00"/>
    <s v="&quot;Xl ga jelas. Isi pulsa 25rb ke potong 10rb , kan gilaaaa.. Kapok pake XL udh berapa kali kaya gtu. Jaringan juga lemot bngt sinyal ilang&quot;an. Rugiii!!&quot;"/>
    <x v="0"/>
    <x v="0"/>
    <x v="0"/>
    <s v="-1.0"/>
    <s v="NULL"/>
    <s v="Neutral"/>
    <x v="0"/>
    <x v="1"/>
    <s v="Positif"/>
  </r>
  <r>
    <x v="898"/>
    <x v="0"/>
    <x v="74"/>
    <d v="1899-12-30T19:37:00"/>
    <s v="&quot;kenapa akhir akhir ini xl sering lost signal? tlf WA jadi sering menghubungkan ulang, mau main game juga koneksi jadi buruk...mohon untuk perbaikannya demi kenyamanan pelanggan&quot;"/>
    <x v="1"/>
    <x v="1"/>
    <x v="1"/>
    <s v="0.0"/>
    <s v="NULL"/>
    <s v="Negative"/>
    <x v="1"/>
    <x v="0"/>
    <s v="Netral"/>
  </r>
  <r>
    <x v="899"/>
    <x v="0"/>
    <x v="74"/>
    <d v="1899-12-30T16:53:00"/>
    <s v="&quot;Gimana sih payah banget. Setelah di update malah gabisa login. Disuruh masukin nomor XLnya setelah dimasukin malah katanya nomor yang anda masukan bukan nomor XL prabayar. Apanya yang salah?? Nomor udah bener, dicoba berkali-kali tetep gabisa. Payah banget! Punya kartu XL 2 dicoba login pake nomor keduanya hasilnya sama. Tolong ya diubah fiturnya, lebih baik yang fitur sebelumnya yg sebelum diupdate, mudah, gampang, ini gajelas banget, tolong diperbaiki!.&quot;"/>
    <x v="0"/>
    <x v="0"/>
    <x v="0"/>
    <s v="-1.0"/>
    <s v="NULL"/>
    <s v="Neutral"/>
    <x v="0"/>
    <x v="1"/>
    <s v="Positif"/>
  </r>
  <r>
    <x v="900"/>
    <x v="3"/>
    <x v="74"/>
    <d v="1899-12-30T15:06:00"/>
    <s v="&quot;Mengapa sinyal di rumah saya sangat jelek? Hanya 2 batang saja,tetapi saat saya jalan satu meter saja dari rumah,sinyal kuat?? Tolong di benarkan,ini sangat menggangu seakan deskriminasi padahal saya pengguna setia XL,dari awal selalu pakai XL, sudah 2x ganti kartu tapi masalahnya tetap sama.&quot;"/>
    <x v="0"/>
    <x v="0"/>
    <x v="0"/>
    <s v="-1.0"/>
    <s v="NULL"/>
    <s v="Neutral"/>
    <x v="0"/>
    <x v="1"/>
    <s v="Positif"/>
  </r>
  <r>
    <x v="901"/>
    <x v="1"/>
    <x v="74"/>
    <d v="1899-12-30T12:10:00"/>
    <s v="&quot;Bonus kuota tidak pernah bisa diambil. Selalu ada masalah dan notifikasi silahkan coba beberapa saat lagi. Sangat mengganggu. Saya akan berhenti menggunakan XL. Terima kasih&quot;"/>
    <x v="0"/>
    <x v="0"/>
    <x v="0"/>
    <s v="-1.0"/>
    <s v="NULL"/>
    <s v="Positive"/>
    <x v="0"/>
    <x v="2"/>
    <s v="Positif"/>
  </r>
  <r>
    <x v="902"/>
    <x v="1"/>
    <x v="74"/>
    <d v="1899-12-30T11:26:00"/>
    <s v="&quot;Maaf nurunin bintangnya, pulsa kesedot 50rb padahal kuota masi 3GB. Jaringan busuk banget. Sekalinya dapet WiFi di kantor, langsung ngehubungi Maya tapi kaya ngomong sama bot. Soo saaaad, apa gua ganti aja yaaaak. Make XL kayak tutorial nyusahin diri sendiri. Ã°Å¸ËœÂ­ Ntar klo udah bagus, ku ubah bintangnya&quot;"/>
    <x v="1"/>
    <x v="1"/>
    <x v="1"/>
    <s v="0.0"/>
    <s v="NULL"/>
    <s v="Neutral"/>
    <x v="1"/>
    <x v="1"/>
    <s v="Netral"/>
  </r>
  <r>
    <x v="903"/>
    <x v="1"/>
    <x v="74"/>
    <d v="1899-12-30T10:09:00"/>
    <s v="&quot;Bela2in ngisi paket data demi bonus,, eh malah gak ada kejelasan, mau nanya di live chat susah nyambung, nanya di fb malah di jawab sama robot, yaudah di post di sini aja agar orang lain tau kalau layanan xl itu payah..Ã°Å¸â€˜Å½&quot;"/>
    <x v="0"/>
    <x v="0"/>
    <x v="0"/>
    <s v="-1.0"/>
    <s v="NULL"/>
    <s v="Positive"/>
    <x v="0"/>
    <x v="2"/>
    <s v="Positif"/>
  </r>
  <r>
    <x v="904"/>
    <x v="1"/>
    <x v="75"/>
    <d v="1899-12-30T08:02:00"/>
    <s v="&quot;Maaf ni sebelumnya katanya XL prioriras tapi sinyalnya kok buriq ya? Bukan kalau XL PRIOPRITAS sinyalnya bagus? Niat kerja ga sih? Memberi orang sinyal yang buruk orang beli paket mahal&quot; tapi paketnya tidak bisa dipakai untuk ngegame dan tiktokan kalau ga bisa memberi sinyal bagus hapus aja aplikasi ini ga guna ada di playstore, cuman bikin malu playstore adanya bagus ni apk di hapus musnahkan dari playstore ga perlu&quot;"/>
    <x v="0"/>
    <x v="0"/>
    <x v="0"/>
    <s v="-1.0"/>
    <s v="NULL"/>
    <s v="Neutral"/>
    <x v="0"/>
    <x v="1"/>
    <s v="Positif"/>
  </r>
  <r>
    <x v="905"/>
    <x v="1"/>
    <x v="75"/>
    <d v="1899-12-30T07:51:00"/>
    <s v="&quot;Habis beli kuota di My XL lewat Shopee pay, dari semalam sedang diproses. Tiba2 hari ini riwayat nya menghilang, kuota tak kunjung menambah.. Pembayaran d Shopee pay berhasil saldo berkurang drastis. Gimana kelanjutannya ????&quot;"/>
    <x v="0"/>
    <x v="0"/>
    <x v="0"/>
    <s v="-1.0"/>
    <s v="NULL"/>
    <s v="Negative"/>
    <x v="0"/>
    <x v="0"/>
    <s v="Positif"/>
  </r>
  <r>
    <x v="906"/>
    <x v="0"/>
    <x v="75"/>
    <d v="1899-12-30T06:21:00"/>
    <s v="&quot;seneng ada diskon pembelian paket...semoga tetep ada diskon ...jadi tidak pindah ke provider lain yang mungkin menawarkan harga paket yang lebih murah dengan jangkauan internet yang jauh lebih baik..Ã°Å¸â€˜ÂÃ°Å¸â€˜ÂÃ°Å¸â„¢Â&quot;"/>
    <x v="2"/>
    <x v="2"/>
    <x v="2"/>
    <s v="1.0"/>
    <s v="NULL"/>
    <s v="Neutral"/>
    <x v="0"/>
    <x v="1"/>
    <s v="Positif"/>
  </r>
  <r>
    <x v="907"/>
    <x v="3"/>
    <x v="75"/>
    <d v="1899-12-30T04:55:00"/>
    <s v="&quot;Gua pakek ni apk lancar lancar aj, gak ad kendala. Cuman ya gitu, sinyal semakin jelek. Udah itu aj kendala saya, udah lama aku pakek XL. Baru terasa sinyal kurang memuaskan&quot;"/>
    <x v="1"/>
    <x v="1"/>
    <x v="1"/>
    <s v="0.0"/>
    <s v="NULL"/>
    <s v="Neutral"/>
    <x v="1"/>
    <x v="1"/>
    <s v="Netral"/>
  </r>
  <r>
    <x v="908"/>
    <x v="3"/>
    <x v="75"/>
    <d v="1899-12-30T04:51:00"/>
    <s v="&quot;GAJELASSSSS!!!!!!!!!! jaringan mantengggg.. buka apk ini tetep aja ga ada jaringan udh uninstall apalah segala macem tetep aja buang2 waktu&quot;"/>
    <x v="0"/>
    <x v="0"/>
    <x v="0"/>
    <s v="-1.0"/>
    <s v="NULL"/>
    <s v="Neutral"/>
    <x v="0"/>
    <x v="1"/>
    <s v="Positif"/>
  </r>
  <r>
    <x v="909"/>
    <x v="0"/>
    <x v="75"/>
    <d v="1899-12-30T04:03:00"/>
    <s v="&quot;Hi XL. Napa nmr baruku gk bisa login ya? Slalu notif &quot; maaf sedang ada gangguan.....&quot; padahal nmrku yg lama bisa login, trus gimana nih jika mau liat pulsa/kuota via apl myxl?? Tetep gk bisa login. Kemarin asus, skrg oppo, waduh....cemana nak cek kuota??&quot;"/>
    <x v="0"/>
    <x v="0"/>
    <x v="0"/>
    <s v="-1.0"/>
    <s v="NULL"/>
    <s v="Neutral"/>
    <x v="0"/>
    <x v="1"/>
    <s v="Positif"/>
  </r>
  <r>
    <x v="910"/>
    <x v="2"/>
    <x v="75"/>
    <d v="1899-12-30T03:38:00"/>
    <s v="&quot;dari dulu emg paling recommended pake kartu ini, soalny signal full di lingkungan saya. maklum anak rumahan. walaupun kadang pilihan paketnya mahal juga ttep balik lagi ke kartu ini.&quot;"/>
    <x v="2"/>
    <x v="2"/>
    <x v="2"/>
    <s v="1.0"/>
    <s v="NULL"/>
    <s v="Positive"/>
    <x v="0"/>
    <x v="2"/>
    <s v="Positif"/>
  </r>
  <r>
    <x v="911"/>
    <x v="2"/>
    <x v="75"/>
    <d v="1899-12-30T02:01:00"/>
    <s v="&quot;Semuanya lancar dan aman, hanya saat hujan tiba, biasanya langsung lemot, kadang memang tidak bisa buka aplikasi untuk cek kuota. Kadang saat pagi sekira jam 5-6 tiba2 sinyal hilang kemudian muncul lagi dengan sinyal H+ beberapa menit kemudian normal lagi ke 4G+. Paket data juga paling irit daripada operator lain&quot;"/>
    <x v="2"/>
    <x v="2"/>
    <x v="2"/>
    <s v="1.0"/>
    <s v="NULL"/>
    <s v="Neutral"/>
    <x v="0"/>
    <x v="1"/>
    <s v="Positif"/>
  </r>
  <r>
    <x v="912"/>
    <x v="4"/>
    <x v="75"/>
    <d v="1899-12-30T22:19:00"/>
    <s v="&quot;Saran dari saya untuk XL seharusnya lebih memperhatikan pengguna XL yang sudah lama seperti saya, diberi bonus atau harga kuota yg murah, lebih dari 10 tahun nomer ini nggak saya ganti&quot;"/>
    <x v="1"/>
    <x v="1"/>
    <x v="1"/>
    <s v="0.0"/>
    <s v="NULL"/>
    <s v="Positive"/>
    <x v="1"/>
    <x v="2"/>
    <s v="Netral"/>
  </r>
  <r>
    <x v="913"/>
    <x v="1"/>
    <x v="75"/>
    <d v="1899-12-30T13:48:00"/>
    <s v="&quot;duhh, ini kenapa sih? kuota YouTube masih banyak, tapi ga bisa dipakai. buka YouTube cuma bisa buka komentarnya doang, videonya ga bisa cuma muter-muter doang. tolong dong diperbaiki kesalahan kesalahan di aplikasi nya. mengcapeeeÃ°Å¸ËœÂ¤&quot;"/>
    <x v="0"/>
    <x v="0"/>
    <x v="0"/>
    <s v="-1.0"/>
    <s v="NULL"/>
    <s v="Neutral"/>
    <x v="0"/>
    <x v="1"/>
    <s v="Positif"/>
  </r>
  <r>
    <x v="914"/>
    <x v="1"/>
    <x v="75"/>
    <d v="1899-12-30T13:11:00"/>
    <s v="&quot;Dulu xl dapat dijangkau dgn baik, Jaringannya di daerah2. sekarang internet tak bagus, kadang blank tidak ada bar sinyal satupun muncul di hp. Lebih2 setelah ada penataan jaringan 3G di off kan. Di ganti 4G, itu pun sering gangguan jadi error, Habis batre krn cari sinyal. Sudah kuota mahal, internetan gak bisa pula. Yang bagus hanya jaringan buat dikota2 saja.&quot;"/>
    <x v="0"/>
    <x v="0"/>
    <x v="0"/>
    <s v="-1.0"/>
    <s v="NULL"/>
    <s v="Negative"/>
    <x v="0"/>
    <x v="0"/>
    <s v="Positif"/>
  </r>
  <r>
    <x v="915"/>
    <x v="1"/>
    <x v="76"/>
    <d v="1899-12-30T09:25:00"/>
    <s v="&quot;Saya mau bertanya, knpa bonus XTRA Unlimited Turbo Fb dan Instagram tidak dapat diaktifkan? Padahal sebelumnya saya sudah membeli paketnya di aplikasi MyXl. Saya sudah chat di aplikasi myXL nya dari tanggal 25, sampai sekarang bonus pembelian paketnya belum juga bisa sy aktifkan. Sy membeli paketnya pada tanggal 24 November, mohon bantuannya. Padahal aplikasi myXL sy sudah diupdate dan terbaru, sinyalnya juga sudah 4G tapi saat mengaktifkan bonus fb dan instagramnya tidak dapat diaktifkan.&quot;"/>
    <x v="0"/>
    <x v="0"/>
    <x v="0"/>
    <s v="-1.0"/>
    <s v="NULL"/>
    <s v="Positive"/>
    <x v="0"/>
    <x v="2"/>
    <s v="Positif"/>
  </r>
  <r>
    <x v="916"/>
    <x v="3"/>
    <x v="76"/>
    <d v="1899-12-30T07:41:00"/>
    <s v="&quot;Saya beli paket data Xtra Combo Plus yang 59rb dapet 10GB kuota utama 3GB kuota area sama 2GB bonus kuota aplikasi. setelah beli ada notif suruh klaim bonus tapi setelah dibuka notifnya gak bisa di klaim bonusnya. Berarti sama aja cuma 13GB totalnya bukan 15GB. Padahal sebelum2nya bonus itu bisa diklaim mohon untuk diperbaiki bila perlu kompensasi!&quot;"/>
    <x v="0"/>
    <x v="0"/>
    <x v="0"/>
    <s v="-1.0"/>
    <s v="NULL"/>
    <s v="Positive"/>
    <x v="0"/>
    <x v="2"/>
    <s v="Positif"/>
  </r>
  <r>
    <x v="917"/>
    <x v="2"/>
    <x v="76"/>
    <d v="1899-12-30T05:29:00"/>
    <s v="&quot;Saya pemakai xl prabayar sudah 21 tahun. Tapi kenapa tidak ada penghargaan sebagai pelanggan setia ya? Dulu jaman XL ada sayembara bening yg iklannya anjasmara saya pernah dapat hadiah berupa HP Sony Ericsson skitar 2005.tp sekarang XL makin pelit.&quot;"/>
    <x v="1"/>
    <x v="1"/>
    <x v="1"/>
    <s v="0.0"/>
    <s v="NULL"/>
    <s v="Neutral"/>
    <x v="1"/>
    <x v="1"/>
    <s v="Netral"/>
  </r>
  <r>
    <x v="918"/>
    <x v="1"/>
    <x v="76"/>
    <d v="1899-12-30T16:38:00"/>
    <s v="&quot;Mohon agar kpd Pihak XL AXIATA TBK, dlm segi paketan internet murah meriah, agar kami konsumen dpt menikmati paket2 termurah di jaringan seluler beda dgn jaringan seluler lainnya, mohon agar saran saya ini di dengar dan di tindak lanjuti, jgn hanya JANJI tp harus ada BUKTINYA&quot;"/>
    <x v="1"/>
    <x v="1"/>
    <x v="1"/>
    <s v="0.0"/>
    <s v="NULL"/>
    <s v="Neutral"/>
    <x v="1"/>
    <x v="1"/>
    <s v="Netral"/>
  </r>
  <r>
    <x v="919"/>
    <x v="1"/>
    <x v="76"/>
    <d v="1899-12-30T13:48:00"/>
    <s v="&quot;tolong tingkatkan kualitas jaringan di kota2 kecil, masa dari 7x24 jam jaringan yang waras cuma 3 sampe 5 jam, ribuan kali komplen, ribuan kali ditangani dan ribuan kali tidak ada perubahan, UNTUK BEBERAPA DAERAH XL SANGAT TIDAK DIREKOMENDASI UNTUK BERMAIN GAME ONLINE!! PENGALAMAN MAIN GAME PALING BURUK DENGAN XL!! kalo tidak bisa segera lakukan perbaikan lebih baik hentikan bisnis kalian, ini saran serius&quot;"/>
    <x v="0"/>
    <x v="0"/>
    <x v="0"/>
    <s v="-1.0"/>
    <s v="NULL"/>
    <s v="Neutral"/>
    <x v="0"/>
    <x v="1"/>
    <s v="Positif"/>
  </r>
  <r>
    <x v="920"/>
    <x v="0"/>
    <x v="77"/>
    <d v="1899-12-30T04:03:00"/>
    <s v="&quot;saya sudah melaporkan melalui xl care 6 agen tidak bisa membantu saya, padahal masalah saya untuk cek pulsa *123# tidak bisa respon nya MAAF LAYANAN TIDAK TERSEDIA. LAKUKAN REGISTRASI.... padahal *123*4444# nomer saya sudah berhasil di registrasi dengn NIK.......... sebelumnya nomer yg saya gunakan itu baru beli dan sudah diregistrasi, mau cek pulsa dan mau aktifasi voucher data dari senin sampai sekarang gak bisa dan tindakannya lama. mohon bantuannya min&quot;"/>
    <x v="0"/>
    <x v="0"/>
    <x v="0"/>
    <s v="-1.0"/>
    <s v="NULL"/>
    <s v="Positive"/>
    <x v="0"/>
    <x v="2"/>
    <s v="Positif"/>
  </r>
  <r>
    <x v="921"/>
    <x v="1"/>
    <x v="77"/>
    <d v="1899-12-30T20:16:00"/>
    <s v="&quot;Guna nya pulsa siaga apa? Saya gak pernah pake pulsa siaga, trus sering isi pulsa kenapa pas tanggal tua mau di pake,nunggu 2 hari gak ada jawaban dari operator,kartu saya belum masa tenggang, ini hp saya yg rusak apa provider nya memang kayak gini&quot;"/>
    <x v="1"/>
    <x v="1"/>
    <x v="1"/>
    <s v="0.0"/>
    <s v="NULL"/>
    <s v="Neutral"/>
    <x v="1"/>
    <x v="1"/>
    <s v="Netral"/>
  </r>
  <r>
    <x v="922"/>
    <x v="3"/>
    <x v="77"/>
    <d v="1899-12-30T14:09:00"/>
    <s v="&quot;Mau masuk aja gk bs...tambah ribet,sudah berulang kali di hapus,di instal lg tetep aja gk bs login, semua pilihan jenis layanan kartu sudah di coba semua...tetep aja gagal login&quot;"/>
    <x v="0"/>
    <x v="0"/>
    <x v="0"/>
    <s v="-1.0"/>
    <s v="NULL"/>
    <s v="Neutral"/>
    <x v="0"/>
    <x v="1"/>
    <s v="Positif"/>
  </r>
  <r>
    <x v="923"/>
    <x v="1"/>
    <x v="77"/>
    <d v="1899-12-30T14:04:00"/>
    <s v="&quot;Saya di Malaysia saya suruh istri saya dari Telkomsel ganti XL bukan tambah bagus e makin parah,sinyal H+ saja nggak full, kecepatan datanya nggak sampai 1 mbps,kalah jauh dengan kartu Malaysia 70 mbps, semua operator Indonesia sinyal bagus hanya di tengah kota,4G Indonesia masih kalah dengan sinyal 3G Malaysia,sudah lemot mahal&quot;"/>
    <x v="0"/>
    <x v="0"/>
    <x v="0"/>
    <s v="-1.0"/>
    <s v="NULL"/>
    <s v="Neutral"/>
    <x v="0"/>
    <x v="1"/>
    <s v="Positif"/>
  </r>
  <r>
    <x v="924"/>
    <x v="1"/>
    <x v="77"/>
    <d v="1899-12-30T12:11:00"/>
    <s v="&quot;Selalu ready dan siap pulsa dan data, tp emank fakta ini kualitas signal xl sdh tdk sebagus dulu, skrg makin parah, jujur saya hrs siap beralih ke yg lain klo gini terus. XL, jgn takut klo dibilang mahal, selama kualitas signal mu bisa selalu bagus&quot;"/>
    <x v="1"/>
    <x v="1"/>
    <x v="1"/>
    <s v="0.0"/>
    <s v="NULL"/>
    <s v="Positive"/>
    <x v="1"/>
    <x v="2"/>
    <s v="Netral"/>
  </r>
  <r>
    <x v="925"/>
    <x v="1"/>
    <x v="77"/>
    <d v="1899-12-30T10:06:00"/>
    <s v="&quot;Maaf kenapa kalau saya buka aplikasinya kembali ke beranda sendiri? Katanya My XL sudah berhenti kenapaaa ini??? Pliss caranya gimanaa? Udah hapus lalu instal lagi tapi tetap ga bisaa&quot;"/>
    <x v="1"/>
    <x v="1"/>
    <x v="1"/>
    <s v="0.0"/>
    <s v="NULL"/>
    <s v="Neutral"/>
    <x v="1"/>
    <x v="1"/>
    <s v="Netral"/>
  </r>
  <r>
    <x v="926"/>
    <x v="1"/>
    <x v="77"/>
    <d v="1899-12-30T10:00:00"/>
    <s v="&quot;Apaan sih ini XL jaringan gak jelas. Yang lain sudah mau 5G eh XL masih lemot gini. Kalau gak niat memperbaiki kualitas jaringan bubar aja lah sekalian!!?&quot;"/>
    <x v="0"/>
    <x v="0"/>
    <x v="0"/>
    <s v="-1.0"/>
    <s v="NULL"/>
    <s v="Neutral"/>
    <x v="0"/>
    <x v="1"/>
    <s v="Positif"/>
  </r>
  <r>
    <x v="927"/>
    <x v="1"/>
    <x v="78"/>
    <d v="1899-12-30T09:54:00"/>
    <s v="&quot;Maaf satu bintang aja dulu, eh kenapa kuota d akrab saya cuma 10 giga d bagi 2.sedangkan yg 25gb d pake ama wa doang. G bisa pake yg lain.kalau kya gini mending beli yg 55rb ketauan 10 gb. Mksih&quot;"/>
    <x v="0"/>
    <x v="0"/>
    <x v="0"/>
    <s v="-1.0"/>
    <s v="NULL"/>
    <s v="Neutral"/>
    <x v="0"/>
    <x v="1"/>
    <s v="Positif"/>
  </r>
  <r>
    <x v="928"/>
    <x v="2"/>
    <x v="78"/>
    <d v="1899-12-30T08:30:00"/>
    <s v="&quot;Saya dari tahun 2000an selalu pake ini provider, layanan semakin membaik, saran aja kasih promo atau cashback atau marchendise sebaigai pelanggan lama,, biar selalu dimanjakan oleh XL, lancar terus sukses selalu&quot;"/>
    <x v="2"/>
    <x v="2"/>
    <x v="2"/>
    <s v="1.0"/>
    <s v="NULL"/>
    <s v="Neutral"/>
    <x v="0"/>
    <x v="1"/>
    <s v="Positif"/>
  </r>
  <r>
    <x v="929"/>
    <x v="1"/>
    <x v="78"/>
    <d v="1899-12-30T05:07:00"/>
    <s v="&quot;Ga jelas ngmg ma Maya, mending bicara CS langsung!! Kapok beli paket di*123*# beda kayak dulu, sebelum transaksi ad konfirmasi pelanggan lanjut beli/ga?? Sekarang ga ad!! Lgsg potong pulsa!! Saya ga lg pk paket XL tp ad sms pulsa berkurang krn pk internet!! WHAT??&quot;"/>
    <x v="0"/>
    <x v="0"/>
    <x v="0"/>
    <s v="-1.0"/>
    <s v="NULL"/>
    <s v="Neutral"/>
    <x v="0"/>
    <x v="1"/>
    <s v="Positif"/>
  </r>
  <r>
    <x v="930"/>
    <x v="1"/>
    <x v="78"/>
    <d v="1899-12-30T23:55:00"/>
    <s v="&quot;Kenapa paket akrab saya belum aktif-aktif padahal di apk sudah masuk notif Kalau pembayaran sudah di terima . Dan pembayaran juga sudah berhasil. Kenapa paket tidak segera masuk, sudah dari semalam! Tolong xl ya&quot;"/>
    <x v="1"/>
    <x v="1"/>
    <x v="1"/>
    <s v="0.0"/>
    <s v="NULL"/>
    <s v="Neutral"/>
    <x v="1"/>
    <x v="1"/>
    <s v="Netral"/>
  </r>
  <r>
    <x v="931"/>
    <x v="0"/>
    <x v="78"/>
    <d v="1899-12-30T22:09:00"/>
    <s v="&quot;Sekedar informasi Untuk saat ini jaringan dan app berjalan dgn baik, yg kemarin saya mengeluh soal app yg tidak bisa membeli paket internet di app tapi sekarang sudah dgn lancar.Namun jika kondisi di daerah saya sedang hujan, tidak lancar meskipun jalan sih dengan speed lumayan lambat.Mohon sekali dari pelayanan jaringan harap diperhatikan saat hujan. Terima kasih.Note: bagi kalian pernah kejadian tidak bisa membeli paket internet di app my xl, idupin mode pesawat tunggu krng lbh 1 m, trus mati&quot;"/>
    <x v="2"/>
    <x v="2"/>
    <x v="2"/>
    <s v="1.0"/>
    <s v="NULL"/>
    <s v="Neutral"/>
    <x v="0"/>
    <x v="1"/>
    <s v="Positif"/>
  </r>
  <r>
    <x v="932"/>
    <x v="1"/>
    <x v="78"/>
    <d v="1899-12-30T17:11:00"/>
    <s v="&quot;udah update dan restart HP. ternyata aplikasi gabisa dibuka kayanya dari servernya. lihat review lain ternyata banyak problem yang sama. kenapa tidak ada perbaikan secara tanggap? kalau ada problem baiknya diinfokan ke pelanggan baik via SMS atau apalah itu agar transparan, lebih baik lagi kalau ada perbaikan. thumbs down.&quot;"/>
    <x v="0"/>
    <x v="0"/>
    <x v="0"/>
    <s v="-1.0"/>
    <s v="NULL"/>
    <s v="Negative"/>
    <x v="0"/>
    <x v="0"/>
    <s v="Positif"/>
  </r>
  <r>
    <x v="933"/>
    <x v="1"/>
    <x v="78"/>
    <d v="1899-12-30T17:06:00"/>
    <s v="&quot;Jaringannya jelek banget dirumah gua , ga nyaman banget buat main ML dan PUBG , setiap di ingame pasti selalu jaringan merah , tiba tiba jaringan menjadi H/H+ lebih parahnya bisa bisa ilang dalam beberapa detik&quot;"/>
    <x v="0"/>
    <x v="0"/>
    <x v="0"/>
    <s v="-1.0"/>
    <s v="NULL"/>
    <s v="Neutral"/>
    <x v="0"/>
    <x v="1"/>
    <s v="Positif"/>
  </r>
  <r>
    <x v="934"/>
    <x v="1"/>
    <x v="78"/>
    <d v="1899-12-30T16:58:00"/>
    <s v="&quot;verifikasinya tolong di tambah lagi, jangan cuma lewat sms, kalau bisa ya telpon dari operator, karena nunggu sms lama banget, pernah juga ngalamin sms tidak pernah masuk.&quot;"/>
    <x v="1"/>
    <x v="1"/>
    <x v="1"/>
    <s v="0.0"/>
    <s v="NULL"/>
    <s v="Neutral"/>
    <x v="1"/>
    <x v="1"/>
    <s v="Netral"/>
  </r>
  <r>
    <x v="935"/>
    <x v="1"/>
    <x v="78"/>
    <d v="1899-12-30T15:56:00"/>
    <s v="&quot;tambah parah aplikasi my xl ini .udh lama bnget baru bisa d buka .pas kebuka gk bisa beli paket pke pulsa .bkannya kgunaan utamanya my xl itu kan .mempermudah konsumen brtransaksi pakai pulsa .ini ko segala susah .aplikasi my xl jelek :(&quot;"/>
    <x v="0"/>
    <x v="0"/>
    <x v="0"/>
    <s v="-1.0"/>
    <s v="NULL"/>
    <s v="Neutral"/>
    <x v="0"/>
    <x v="1"/>
    <s v="Positif"/>
  </r>
  <r>
    <x v="936"/>
    <x v="1"/>
    <x v="78"/>
    <d v="1899-12-30T15:53:00"/>
    <s v="&quot;Aplikasi ga guna, saya ingin beli paket malah tulisan gaada jaringan , padahal kuota masih banyak dan buka aplikasi apapun bisa. Cuma my XL aja yang gabisa&quot;"/>
    <x v="0"/>
    <x v="0"/>
    <x v="0"/>
    <s v="-1.0"/>
    <s v="NULL"/>
    <s v="Neutral"/>
    <x v="0"/>
    <x v="1"/>
    <s v="Positif"/>
  </r>
  <r>
    <x v="937"/>
    <x v="1"/>
    <x v="78"/>
    <d v="1899-12-30T15:47:00"/>
    <s v="&quot;tiap kali beli unlimited turbo plus youtube 1 hari 4000 Rp kenapa ga sampe 1 hari ? padahal sudah tertera s&amp;knya 24 jam, pernah jg beli ga sampe 3 jam udah ada notip paketan tidak aktif ga cuma sekali saya mengalami kerugian ,apakah pihak xl membenarkan PENIPUAN ini? mohon diperbaiki lagi agar customer merasa puas&quot;"/>
    <x v="1"/>
    <x v="1"/>
    <x v="1"/>
    <s v="0.0"/>
    <s v="NULL"/>
    <s v="Neutral"/>
    <x v="1"/>
    <x v="1"/>
    <s v="Netral"/>
  </r>
  <r>
    <x v="938"/>
    <x v="1"/>
    <x v="78"/>
    <d v="1899-12-30T15:17:00"/>
    <s v="&quot;Apaan sih saya baru beli pulsa eh udah maen dipotong aja pulsanya,padahal gak buka data udah sering banget kaya gini gimana sih ini!!!!!!&quot;"/>
    <x v="0"/>
    <x v="0"/>
    <x v="0"/>
    <s v="-1.0"/>
    <s v="NULL"/>
    <s v="Neutral"/>
    <x v="0"/>
    <x v="1"/>
    <s v="Positif"/>
  </r>
  <r>
    <x v="939"/>
    <x v="4"/>
    <x v="78"/>
    <d v="1899-12-30T11:41:00"/>
    <s v="&quot;Operator kenapa jaringan XL di provinsi Lampung kabupaten Lampung tengah kecamatan seputih Surabaya susah banget padahal sinyal nya 4G, tolong di perbaiki secepatnya, di sini yang pengguna XL pada ngeluh, karena jaringan yang kurang mendukung&quot;"/>
    <x v="0"/>
    <x v="0"/>
    <x v="0"/>
    <s v="-1.0"/>
    <s v="NULL"/>
    <s v="Neutral"/>
    <x v="0"/>
    <x v="1"/>
    <s v="Positif"/>
  </r>
  <r>
    <x v="940"/>
    <x v="1"/>
    <x v="78"/>
    <d v="1899-12-30T10:08:00"/>
    <s v="&quot;Susah claim bonus transaksi selalu coba lagi.. padahal lumayan..enakan yamg sebelumnya, setelah update jadi gajelas aplikasinya sering kasih info telat sama susah claim bonusnya padahal lumayan.&quot;"/>
    <x v="0"/>
    <x v="0"/>
    <x v="0"/>
    <s v="-1.0"/>
    <s v="NULL"/>
    <s v="Positive"/>
    <x v="0"/>
    <x v="2"/>
    <s v="Positif"/>
  </r>
  <r>
    <x v="941"/>
    <x v="4"/>
    <x v="79"/>
    <d v="1899-12-30T05:38:00"/>
    <s v="&quot;Dulu aku suka aplikasi ini tp akhir akhir ini di wilayah Lampung Selatan mati total sinyal ga ada selalu (X) tolong jangan sampai berlarut larut sperti ini bila ada perbaikan , kami butuh internet kenapa internet hilang bgitu aja Ã°Å¸ËœÂ­Ã°Å¸â„¢Â&quot;"/>
    <x v="1"/>
    <x v="1"/>
    <x v="1"/>
    <s v="0.0"/>
    <s v="NULL"/>
    <s v="Neutral"/>
    <x v="1"/>
    <x v="1"/>
    <s v="Netral"/>
  </r>
  <r>
    <x v="942"/>
    <x v="2"/>
    <x v="79"/>
    <d v="1899-12-30T18:31:00"/>
    <s v="&quot;Hallo , sedikit saran dari saya semoga di baca . Untuk kenyamanan kita bersama tolong dong sediakan fitur kunci pulsa , untuk kenyamanan para pengguna semisal ada pulsa lebih tidak terbuang sia2 pada saat paketan kita habis Trimakasi&quot;"/>
    <x v="1"/>
    <x v="1"/>
    <x v="1"/>
    <s v="0.0"/>
    <s v="NULL"/>
    <s v="Neutral"/>
    <x v="1"/>
    <x v="1"/>
    <s v="Netral"/>
  </r>
  <r>
    <x v="943"/>
    <x v="4"/>
    <x v="79"/>
    <d v="1899-12-30T15:10:00"/>
    <s v="&quot;Tolong perbaiki jaringan,sinyal dan komunikasi....akhir akhir ini saya kesal karena tiap buka aplikasi,game,yt,bahkan my XL saja error mulu.yang ku butuhkan bukan saran (ikuti langkah yg disarankan ) dari my xlnya tapi jaringan masih leg,, yg kubutuhkan kecepatan dalam perbaikan jaringan sehingga semua user XL kembali puas dalam menggunakan my XL ini.maaf saya kasih bintang 3 .pbila sudah bagus semua saya ubah b5..thank&quot;"/>
    <x v="0"/>
    <x v="0"/>
    <x v="0"/>
    <s v="-1.0"/>
    <s v="NULL"/>
    <s v="Negative"/>
    <x v="0"/>
    <x v="0"/>
    <s v="Positif"/>
  </r>
  <r>
    <x v="944"/>
    <x v="3"/>
    <x v="79"/>
    <d v="1899-12-30T14:42:00"/>
    <s v="&quot;Kenapa gak bisa beli paket di my XL sekarang yah ?? Padahal udah beli pulsa juga tapi malah gak bisa Katanya bermasalah lah.. pake kode lah ... Padahal dulu senang bgt pake XL lancar bgt skrg gak tau kenapa jadi lemot bgt.. Emang lagi bermasalah atau gimana sih ???&quot;"/>
    <x v="1"/>
    <x v="1"/>
    <x v="1"/>
    <s v="0.0"/>
    <s v="NULL"/>
    <s v="Neutral"/>
    <x v="1"/>
    <x v="1"/>
    <s v="Netral"/>
  </r>
  <r>
    <x v="945"/>
    <x v="0"/>
    <x v="79"/>
    <d v="1899-12-30T14:32:00"/>
    <s v="&quot;semenjak saya update aplikasi ini ke versi terbaru dan setelah saya mengisi survey kok malah sering terjadi kesalahan ya, padahal tadinya selalu lancar. mohon perbaikannya demi kenyamanan bersama&quot;"/>
    <x v="0"/>
    <x v="0"/>
    <x v="0"/>
    <s v="-1.0"/>
    <s v="NULL"/>
    <s v="Neutral"/>
    <x v="0"/>
    <x v="1"/>
    <s v="Positif"/>
  </r>
  <r>
    <x v="946"/>
    <x v="4"/>
    <x v="79"/>
    <d v="1899-12-30T14:00:00"/>
    <s v="&quot;Mau cek sisa kuota tidak bisa, koneksi internet ok, hp juga sudah di matikan, mode air plane juga sudah. Aplikasi minta di update juga sudah langsung update. Setting APN dan reset APN juga sudah. Dan akhir akhir ini juga untuk koneksi internet nya suka lemot. Dan sisa kuota masih tidak mau muncul. Tapi sisa pulsa bisa kelihatan.&quot;"/>
    <x v="0"/>
    <x v="0"/>
    <x v="0"/>
    <s v="-1.0"/>
    <s v="NULL"/>
    <s v="Neutral"/>
    <x v="0"/>
    <x v="1"/>
    <s v="Positif"/>
  </r>
  <r>
    <x v="947"/>
    <x v="1"/>
    <x v="79"/>
    <d v="1899-12-30T13:54:00"/>
    <s v="&quot;Ini aplikasi apa ya perasaan signal bagus masa mau beli kuota di aplikasi myXL kesalahan jaringan terus,perasaan signal full tapi sama aja sampai sampai beli kartu baru, beli agar bisa buat beli paket di myXL, tapi sama aja ini aplikasi rusak banget sumpahhh......&quot;"/>
    <x v="0"/>
    <x v="0"/>
    <x v="0"/>
    <s v="-1.0"/>
    <s v="NULL"/>
    <s v="Neutral"/>
    <x v="0"/>
    <x v="1"/>
    <s v="Positif"/>
  </r>
  <r>
    <x v="948"/>
    <x v="1"/>
    <x v="79"/>
    <d v="1899-12-30T13:04:00"/>
    <s v="&quot;ini kenapa ya apk nya tadi saya pas mau ngisi paket gak bisa kata nya &quot; Gagal memuat data &quot; tapi kan pake wifi emang lemot?!!!!!!!!!!!!!!!!!!!!!!!?!!!!????!!??!!!!!&quot;"/>
    <x v="0"/>
    <x v="0"/>
    <x v="0"/>
    <s v="-1.0"/>
    <s v="NULL"/>
    <s v="Neutral"/>
    <x v="0"/>
    <x v="1"/>
    <s v="Positif"/>
  </r>
  <r>
    <x v="949"/>
    <x v="1"/>
    <x v="79"/>
    <d v="1899-12-30T10:19:00"/>
    <s v="&quot;bulan bulan ini sinyal XL saya sangat jelek, untuk bermain game online pingnya naik turun, tolong pihak XL untuk di perbaiki sinyal XL, termiakaih.&quot;"/>
    <x v="0"/>
    <x v="0"/>
    <x v="0"/>
    <s v="-1.0"/>
    <s v="NULL"/>
    <s v="Neutral"/>
    <x v="0"/>
    <x v="1"/>
    <s v="Positif"/>
  </r>
  <r>
    <x v="950"/>
    <x v="0"/>
    <x v="80"/>
    <d v="1899-12-30T16:06:00"/>
    <s v="&quot;Tolong diperbaiki lagi sinyalnya yaa,,harga kuotanya juga banyak&quot;in diskon kalaupun gak diskon ya jangan mahal&quot; kami yang anak sekolahan mau beli kuota susah euy... Kasih gratisan juga dongss Jan pelit&quot;. Sekian terima kuotaÃ°Å¸ËœÂÃ°Å¸â€˜Â&quot;"/>
    <x v="2"/>
    <x v="2"/>
    <x v="2"/>
    <s v="1.0"/>
    <s v="NULL"/>
    <s v="Neutral"/>
    <x v="0"/>
    <x v="1"/>
    <s v="Positif"/>
  </r>
  <r>
    <x v="951"/>
    <x v="4"/>
    <x v="80"/>
    <d v="1899-12-30T12:35:00"/>
    <s v="&quot;Aplikasinya sihh bagus sebelum diupdate tapi Kenapa yaa setelah diupdate aplikasinya sering terjadi kesalahan? Semisal mau beli kuota atau lihat kuota yang masih aktif sering terjadi kesalahan/gagal memuat padahal sinyal bagus diganti pake jaringan wifi juga sama aja... Mohon tindak lanjutnya untuk developmen... Terimakasih&quot;"/>
    <x v="1"/>
    <x v="1"/>
    <x v="1"/>
    <s v="0.0"/>
    <s v="NULL"/>
    <s v="Neutral"/>
    <x v="1"/>
    <x v="1"/>
    <s v="Netral"/>
  </r>
  <r>
    <x v="952"/>
    <x v="2"/>
    <x v="80"/>
    <d v="1899-12-30T00:58:00"/>
    <s v="&quot;terima kasih myxl telah memberi saya pendapat..berkat aplikasi myxl ini saya lebih mudah berkomunikasi dengan keluarga saya dan lebih mudah membeli paket dan harga nya pas dan murah-murah..jadi rekomdasi buat pengguna xl download aplikasi ini..dan saya telah bergabung sama aplikasi myxl selama 2Tahun.&quot;"/>
    <x v="2"/>
    <x v="2"/>
    <x v="2"/>
    <s v="1.0"/>
    <s v="NULL"/>
    <s v="Neutral"/>
    <x v="0"/>
    <x v="1"/>
    <s v="Positif"/>
  </r>
  <r>
    <x v="953"/>
    <x v="1"/>
    <x v="81"/>
    <d v="1899-12-30T08:05:00"/>
    <s v="&quot;Kenapa ya jaringannya jadi lemot banget bulan-bulan belakang ini? Buka aplikasi my xl ini aja lag banget. Butuh bermenit-menit buat cek paketan di myxl padahal kuota masih banyak. Buat meet nge lag, main game nge lag. Mohon maaf banget, mending ganti kartu aja saya. Terimakasih udah jadi kartu andalan, meski itu masa lalu. Bye, xl. Aku baru ganti kartu lain langsung dapet bonus. Sudahlah terimakasih banget xl. Ku harap kedepannya xl bisa lebih baik lagi.&quot;"/>
    <x v="1"/>
    <x v="1"/>
    <x v="1"/>
    <s v="0.0"/>
    <s v="NULL"/>
    <s v="Negative"/>
    <x v="1"/>
    <x v="0"/>
    <s v="Netral"/>
  </r>
  <r>
    <x v="954"/>
    <x v="0"/>
    <x v="81"/>
    <d v="1899-12-30T06:16:00"/>
    <s v="&quot;Jaringan XL makin jelek ya..sinyal naik turun, anak saya jadi sering nangis karena lg nonton YouTube selalu loading.. Saya gx sengaja keluar dari my XL.. mau masuk lagi gx bisa.. Jawabannya belum bisa masuk..kenapa&quot;"/>
    <x v="0"/>
    <x v="0"/>
    <x v="0"/>
    <s v="-1.0"/>
    <s v="NULL"/>
    <s v="Neutral"/>
    <x v="0"/>
    <x v="1"/>
    <s v="Positif"/>
  </r>
  <r>
    <x v="955"/>
    <x v="1"/>
    <x v="81"/>
    <d v="1899-12-30T03:37:00"/>
    <s v="&quot;Sinyal sering H+ atau H komplain di xl care tidak ada solusi setiap complain alasanya ada peningkatan jaringan, hanya di buatkan laporan dan disuruh sabar, admin kabur ketika saya sedang komplain di xl care massanger, saya pemakai kartu xl lama dan saya kecewa.&quot;"/>
    <x v="0"/>
    <x v="0"/>
    <x v="0"/>
    <s v="-1.0"/>
    <s v="NULL"/>
    <s v="Positive"/>
    <x v="0"/>
    <x v="2"/>
    <s v="Positif"/>
  </r>
  <r>
    <x v="956"/>
    <x v="3"/>
    <x v="81"/>
    <d v="1899-12-30T17:02:00"/>
    <s v="&quot;Aplikasi myXL sekarang suka error jika digunakan ngefrem melulu, kayak hp terkena virus lemot banget, dan sudah beberapa kali isi ulang use voucher, bonusan scan voucher tidak dapat digunakan. Ã°Å¸ËœÂ´Ã°Å¸ËœÂ· mohon perbaikan pada pihak XL&quot;"/>
    <x v="0"/>
    <x v="0"/>
    <x v="0"/>
    <s v="-1.0"/>
    <s v="NULL"/>
    <s v="Negative"/>
    <x v="0"/>
    <x v="0"/>
    <s v="Positif"/>
  </r>
  <r>
    <x v="957"/>
    <x v="2"/>
    <x v="81"/>
    <d v="1899-12-30T15:01:00"/>
    <s v="&quot;saya tetap pilih XL, biarpun banyak operator lain menawarkan berbagai produk internet, saya tetap memilih produk internet XL, saya Penggunaan XL sejati&quot;"/>
    <x v="2"/>
    <x v="2"/>
    <x v="2"/>
    <s v="1.0"/>
    <s v="NULL"/>
    <s v="Neutral"/>
    <x v="0"/>
    <x v="1"/>
    <s v="Positif"/>
  </r>
  <r>
    <x v="958"/>
    <x v="4"/>
    <x v="81"/>
    <d v="1899-12-30T14:32:00"/>
    <s v="&quot;Kenapa kuota belajar 35gb dari XL tidak bisa di nonaktifkan, saya setiap hari mencoba tapi selalu terjadi kesalahan, apa gangguan terjadi setiap hari? Saya ingin memberhentikan paket kuota belajar dari XL.&quot;"/>
    <x v="1"/>
    <x v="1"/>
    <x v="1"/>
    <s v="0.0"/>
    <s v="NULL"/>
    <s v="Neutral"/>
    <x v="1"/>
    <x v="1"/>
    <s v="Netral"/>
  </r>
  <r>
    <x v="882"/>
    <x v="0"/>
    <x v="81"/>
    <d v="1899-12-30T14:27:00"/>
    <s v="&quot;Teruntuk pihak provider XL Axiata, mohon di perbaiki lagi kualitas jaringan nya karna belakangan ini kualitas jaringan nya kurang stabil apalagi saat cuaca buruk / mati lampu, terkadang bisa tiba&quot; hilang sinyal (tidak ada koneksi). untuk fitur&quot; yg ditawarkan sudah cukup bagus seperti adanya aplikasi My XL ini yg memudahkan pengguna dalam membeli kuota / paket data &amp; Harga yg di tawarkan pun juga cukup bersaing sehingga masih terjangkau oleh anak kost&quot;an.&quot;"/>
    <x v="2"/>
    <x v="2"/>
    <x v="2"/>
    <s v="1.0"/>
    <s v="NULL"/>
    <s v="Neutral"/>
    <x v="0"/>
    <x v="1"/>
    <s v="Positif"/>
  </r>
  <r>
    <x v="959"/>
    <x v="1"/>
    <x v="81"/>
    <d v="1899-12-30T00:58:00"/>
    <s v="&quot;Banyak bohongnya... Di bagian atas menu ada paket murah.. tapi pas di klik ternyata tidak sesuai dengan iklan nya.. Bintang satu masih kebanyakan.. jawaban admin selalu sama.. artinya itu ROBOT yang jawab&quot;"/>
    <x v="0"/>
    <x v="0"/>
    <x v="0"/>
    <s v="-1.0"/>
    <s v="NULL"/>
    <s v="Neutral"/>
    <x v="0"/>
    <x v="1"/>
    <s v="Positif"/>
  </r>
  <r>
    <x v="960"/>
    <x v="1"/>
    <x v="81"/>
    <d v="1899-12-30T00:30:00"/>
    <s v="&quot;Akhir akhir ini jaringannya sangat tidak memuaskan, mohon perbaikan kepada pihak XL. Dan juga tolong berikan fitur untuk bisa memilik paket kuota mana yang ingin digunakan agar tidak merepotkan saya sebagai pengguna, karna saya sulit menggunakan kouta pribadi saya karna selalu digunakan kouta sekolah yang jelas tidak bisa membuka sosmed&quot;"/>
    <x v="1"/>
    <x v="1"/>
    <x v="1"/>
    <s v="0.0"/>
    <s v="NULL"/>
    <s v="Neutral"/>
    <x v="1"/>
    <x v="1"/>
    <s v="Netral"/>
  </r>
  <r>
    <x v="961"/>
    <x v="1"/>
    <x v="82"/>
    <d v="1899-12-30T02:59:00"/>
    <s v="&quot;Kartu XL SAMPAH,KORUPSI!!!!! Tiap baru beli pulsa beberapa menit kemudian pulsa suka kesedot terus.... Padahal saya gk ngehidupin data (Kartu XL) Tapi pake wifi, pas saya cek pulsanya tiap beberapa menit tertentu, Pulsa makin sini makin berkurang.... Padahal saya gak ngapa-ngapain. Dasar Korupsi!! Jadi males ngisi pulsa di kartu XL&quot;"/>
    <x v="0"/>
    <x v="0"/>
    <x v="0"/>
    <s v="-1.0"/>
    <s v="NULL"/>
    <s v="Neutral"/>
    <x v="0"/>
    <x v="1"/>
    <s v="Positif"/>
  </r>
  <r>
    <x v="962"/>
    <x v="2"/>
    <x v="82"/>
    <d v="1899-12-30T02:23:00"/>
    <s v="&quot;Terimakasih XL paket kamu jangan terbaik .pada paket Telkomsel cepat habis .dan banyak makan duit orang orang .dan orang Telkomsel yang tak sangat baik dan tak ramah Sam orang ...... sekian dulu terimakasih .... semangat terus yang XL .. semoga anggota XL tak Kitu jug ... .salam dari batam .. tolong tingkatkan ulti turbo my XL ya kk. .. kk kenp jaringan 4 lite tak bgus jaringan&quot;"/>
    <x v="2"/>
    <x v="2"/>
    <x v="2"/>
    <s v="1.0"/>
    <s v="NULL"/>
    <s v="Positive"/>
    <x v="0"/>
    <x v="2"/>
    <s v="Positif"/>
  </r>
  <r>
    <x v="963"/>
    <x v="1"/>
    <x v="82"/>
    <d v="1899-12-30T01:51:00"/>
    <s v="&quot;Aplikasinya?????????aku gak tau sih apk nya bagus atau gak soalnya aku baru donlod wau pas aku lagi ngertik udah selesai aku donlodnya cepet banget tapi aku kasih bintang satu aja dulu ya pas aku liat bagus baru deh aku kasih Ã°Å¸Å’Å¸ Ã°Å¸Å’Å¸&quot;"/>
    <x v="1"/>
    <x v="1"/>
    <x v="1"/>
    <s v="0.0"/>
    <s v="NULL"/>
    <s v="Neutral"/>
    <x v="1"/>
    <x v="1"/>
    <s v="Netral"/>
  </r>
  <r>
    <x v="964"/>
    <x v="3"/>
    <x v="82"/>
    <d v="1899-12-30T15:28:00"/>
    <s v="&quot;Saya ingin melaporkan tentang buruknya sinyal XL sekarang ini dan kuota yang harus dibagi bagi saya harap kepada pihak XL agar mengembalikan sistem kuota seperti biasanya tidak ada kuota malam sama pembatasan jam kuota youtube saya harap kedepannya dapat mengerti para pengguna XL #Respon&quot;"/>
    <x v="0"/>
    <x v="0"/>
    <x v="0"/>
    <s v="-1.0"/>
    <s v="NULL"/>
    <s v="Neutral"/>
    <x v="0"/>
    <x v="1"/>
    <s v="Positif"/>
  </r>
  <r>
    <x v="965"/>
    <x v="4"/>
    <x v="82"/>
    <d v="1899-12-30T15:23:00"/>
    <s v="&quot;Tolong ini kenapa di beranda My XL tidak bisa menampilkan sisa paket kuota. Tulisannya &quot;Gagal memuat data silahkan coba lagi&quot;. Sudah di klik coba lagi tapi tidak ada perubahan, padahal sinyal 4G+ tidak ada kendala dalam memuat halaman.&quot;"/>
    <x v="1"/>
    <x v="1"/>
    <x v="1"/>
    <s v="0.0"/>
    <s v="NULL"/>
    <s v="Neutral"/>
    <x v="1"/>
    <x v="1"/>
    <s v="Netral"/>
  </r>
  <r>
    <x v="966"/>
    <x v="4"/>
    <x v="82"/>
    <d v="1899-12-30T15:17:00"/>
    <s v="&quot;Saya agak kecewa dengan myXL karena setiap saya ingin masuk selalu ada kesalahan jaringan ketika saya cek untuk browsing atau pun menggunakan sosial media baik-baik saja saya beri 3 bintang terlebih dahulu karena kurang memuaskan pada pelayanan myXL saya sudah menggunakan XL bertahun-tahun tetapi kenapa setiap kali menggunakan myXL selalu bermasalah di kesalahan jaringan jika kedepannya tidak terjadi masalah tersebut saya akan memberikan Bintang 5&quot;"/>
    <x v="0"/>
    <x v="0"/>
    <x v="0"/>
    <s v="-1.0"/>
    <s v="NULL"/>
    <s v="Neutral"/>
    <x v="0"/>
    <x v="1"/>
    <s v="Positif"/>
  </r>
  <r>
    <x v="967"/>
    <x v="1"/>
    <x v="82"/>
    <d v="1899-12-30T15:11:00"/>
    <s v="&quot;Kemarin beli voucer yg 40 gb, saya isi lewat aplikasi tapi sampai sekarang belum masuk, saya sudah mode pesawat, sudah restar hp juga, saya coba masukan kembali kode voucher kodenya sudah terpakai&quot;"/>
    <x v="1"/>
    <x v="1"/>
    <x v="1"/>
    <s v="0.0"/>
    <s v="NULL"/>
    <s v="Neutral"/>
    <x v="1"/>
    <x v="1"/>
    <s v="Netral"/>
  </r>
  <r>
    <x v="968"/>
    <x v="1"/>
    <x v="82"/>
    <d v="1899-12-30T14:56:00"/>
    <s v="&quot;Apk my xl eror teros beli paket internet aja gak bisa2. Klo hari ini gak bisa beli paket internet itu akumulasi kuota saya yang 3 gb bakalan hangus, kan sayang 3 gb hangus. Tapi beli di my xl gak bisa2. Mana Beli di *123# gak bisa lagi...haduh2. gimana sih ni xl tolong donk jangan eror mulu&quot;"/>
    <x v="0"/>
    <x v="0"/>
    <x v="0"/>
    <s v="-1.0"/>
    <s v="NULL"/>
    <s v="Neutral"/>
    <x v="0"/>
    <x v="1"/>
    <s v="Positif"/>
  </r>
  <r>
    <x v="969"/>
    <x v="3"/>
    <x v="82"/>
    <d v="1899-12-30T14:49:00"/>
    <s v="&quot;Maaf, bintang turun, jaringan susah banget, padahal 4G tapi gak sesuai dgn faktanya. Tolong dong, perbaiki dan tingkatkan lagi jaringannya, buat maketin aja susah banget,,&quot;"/>
    <x v="0"/>
    <x v="0"/>
    <x v="0"/>
    <s v="-1.0"/>
    <s v="NULL"/>
    <s v="Neutral"/>
    <x v="0"/>
    <x v="1"/>
    <s v="Positif"/>
  </r>
  <r>
    <x v="970"/>
    <x v="3"/>
    <x v="82"/>
    <d v="1899-12-30T14:40:00"/>
    <s v="&quot;Kenapa belakangan ini semua paket di my Xl tidak bisa dibeli.. halo operator ada apa??? Tanpa mengurangi rasa hormat Saya mohon diinfokan pada user ketika sedang terjadi kendala pada operator MY XL Karena sayang klw pulsa 25rb di cicil operator:)&quot;"/>
    <x v="0"/>
    <x v="0"/>
    <x v="0"/>
    <s v="-1.0"/>
    <s v="NULL"/>
    <s v="Neutral"/>
    <x v="0"/>
    <x v="1"/>
    <s v="Positif"/>
  </r>
  <r>
    <x v="971"/>
    <x v="0"/>
    <x v="82"/>
    <d v="1899-12-30T14:35:00"/>
    <s v="&quot;Bintang nya empat aja soalnya kecewa sama XL Knapa sih sekarang XL sinyalnya loading mulu.. Mana setiap mau beli kuota lewat aplikasi ngelag kadang juga g bisa.. Padahal awalnya bagus banget lancar tapi sekarang kualitas sinyal berkurang... Alamat ganti kartu kalau gini terus mah.&quot;"/>
    <x v="0"/>
    <x v="0"/>
    <x v="0"/>
    <s v="-1.0"/>
    <s v="NULL"/>
    <s v="Neutral"/>
    <x v="0"/>
    <x v="1"/>
    <s v="Positif"/>
  </r>
  <r>
    <x v="972"/>
    <x v="4"/>
    <x v="82"/>
    <d v="1899-12-30T14:17:00"/>
    <s v="&quot;Halo admin.. kenapa ya cek kuota di aplikasi tidak bisa padahal kuota utama saya masih banyak. Kenapa saya tahu kuota masih banyak? Karena saya menggunakan kuota utama.. kejadian waktunya malam ini dan saya juga selalu beli kuota yang sama.. mohon tanggapannya terimakasih...&quot;"/>
    <x v="1"/>
    <x v="1"/>
    <x v="1"/>
    <s v="0.0"/>
    <s v="NULL"/>
    <s v="Neutral"/>
    <x v="1"/>
    <x v="1"/>
    <s v="Netral"/>
  </r>
  <r>
    <x v="973"/>
    <x v="3"/>
    <x v="82"/>
    <d v="1899-12-30T12:05:00"/>
    <s v="&quot;Ini kenapa sih aplikasi nya gk bisa dibuka? Loading nya lama banget, padahal pengen ngecek kuota saya tinggal berapa ehh malah gk bisa dibuka apk nya, padahal udah di update apk tetep aja gk bisa. Gimana ini solusinya? Mohon dijawabÃ°Å¸â„¢ÂÃ°Å¸ÂÂ»&quot;"/>
    <x v="1"/>
    <x v="1"/>
    <x v="1"/>
    <s v="0.0"/>
    <s v="NULL"/>
    <s v="Neutral"/>
    <x v="1"/>
    <x v="1"/>
    <s v="Netral"/>
  </r>
  <r>
    <x v="974"/>
    <x v="0"/>
    <x v="82"/>
    <d v="1899-12-30T10:12:00"/>
    <s v="&quot;aplikasi nya sangat bagus ringkas informatif dan mudah di gunakan bukan hanya itu myxl terdapat banyak promo paket internet murah pastinya gk nyesel pake XL selain murah kuotanya juga banyak dan hemat pastinya&quot;"/>
    <x v="2"/>
    <x v="2"/>
    <x v="2"/>
    <s v="1.0"/>
    <s v="NULL"/>
    <s v="Neutral"/>
    <x v="0"/>
    <x v="1"/>
    <s v="Positif"/>
  </r>
  <r>
    <x v="975"/>
    <x v="3"/>
    <x v="83"/>
    <d v="1899-12-30T08:51:00"/>
    <s v="&quot;Min saya kan kemaren beli pulsa 50k terus langsung saya buat beli paket turbo yg seharga 50k pulsa nya sudah ketarik terus dapat notifikasi kek ditunggu gitu terus sampe sekarang kuotanya belum dapat sudah 3 hari apa harus nunggu kuota unlimited yg dl habis dl soalnya sisa 2 hari lagi habis tapi kalo sampe masa 2 hari saya masih belum dapat kuota,saya minta ganti min soalnya saya masih pelajar mohon balas min..&quot;"/>
    <x v="1"/>
    <x v="1"/>
    <x v="1"/>
    <s v="0.0"/>
    <s v="NULL"/>
    <s v="Neutral"/>
    <x v="1"/>
    <x v="1"/>
    <s v="Netral"/>
  </r>
  <r>
    <x v="976"/>
    <x v="1"/>
    <x v="83"/>
    <d v="1899-12-30T07:51:00"/>
    <s v="&quot;Saya sangat kecewa akhir akhir ini koneksi jaringan XL ancur parah. nggak seperti biasanya, Mohon segera diperbaiki supaya semua pengguna XL bisa nyaman seperti biasanya. Terimakasih. Note : jangan kasih tau dengan cara restart hp atau mode pesawat percuma hasilnya tetap sama aja!&quot;"/>
    <x v="2"/>
    <x v="2"/>
    <x v="2"/>
    <s v="1.0"/>
    <s v="NULL"/>
    <s v="Neutral"/>
    <x v="0"/>
    <x v="1"/>
    <s v="Positif"/>
  </r>
  <r>
    <x v="977"/>
    <x v="4"/>
    <x v="83"/>
    <d v="1899-12-30T05:26:00"/>
    <s v="&quot;Minta maaf sebelumnya ini my XL, kouta sy ada sisa 13 GB trus sy isi ulang dgn voucer isi 40 GB dan sy masuk di aplikasi My XL cek kouta sy bkn bertambah malahan berkurang yg seharusnya jadi 51 GB knp jadi 41 GB yg saya cek di aplikasi My XL&quot;"/>
    <x v="1"/>
    <x v="1"/>
    <x v="1"/>
    <s v="0.0"/>
    <s v="NULL"/>
    <s v="Neutral"/>
    <x v="1"/>
    <x v="1"/>
    <s v="Netral"/>
  </r>
  <r>
    <x v="978"/>
    <x v="1"/>
    <x v="83"/>
    <d v="1899-12-30T04:51:00"/>
    <s v="&quot;Apk mu masih terlalu berat untuk beberapa smartphone apa lagi yg keluaran lama, gak semua penggunamu bisa beli hp baru, peringankn apk mu, jgn kek provider sebelah yg makin berat ujung2nya gak suport hapenya, jaringan di stabilkan dan sederhanakn pembagian paketnya, terlalu banyak di bagi2,&quot;"/>
    <x v="1"/>
    <x v="1"/>
    <x v="1"/>
    <s v="0.0"/>
    <s v="NULL"/>
    <s v="Neutral"/>
    <x v="1"/>
    <x v="1"/>
    <s v="Netral"/>
  </r>
  <r>
    <x v="979"/>
    <x v="3"/>
    <x v="83"/>
    <d v="1899-12-30T04:29:00"/>
    <s v="&quot;Gak tau kenapa saya awalnya mau beli paket Xtra Combo Plus yang 12 GB tapi saat melakukan pembelian anehnya paket 12 GB saya tidak masuk pedahal sudah saya beli, jadi terpaksa saya beli Xtra Combo Mini yang 2,5 GB itu baru bisa masuk paketnya semoga kedepannya MyXL bisa lebih baik dalam melayani penggunanya terimakasih maaf saya kasih bintang dua Ã°Å¸â„¢Â&quot;"/>
    <x v="2"/>
    <x v="2"/>
    <x v="2"/>
    <s v="1.0"/>
    <s v="NULL"/>
    <s v="Neutral"/>
    <x v="0"/>
    <x v="1"/>
    <s v="Positif"/>
  </r>
  <r>
    <x v="980"/>
    <x v="2"/>
    <x v="83"/>
    <d v="1899-12-30T03:31:00"/>
    <s v="&quot;Maaf ini mengenai xl prioritasnya terlalu ribet, soal penagihan dan sistem layanannya kurang memuaskan terutama antara kuota dan tagihan, kuota sudah tagihan ada, padahal tiap bulan selalu saya isi pulsa, itupun tidak pernah terlambat, tapi kenyataannya masih ada penagihan lain yang saya sendiri tidak tahu penagihan apa, saya mohon penjelasannya ?&quot;"/>
    <x v="1"/>
    <x v="1"/>
    <x v="1"/>
    <s v="0.0"/>
    <s v="NULL"/>
    <s v="Neutral"/>
    <x v="1"/>
    <x v="1"/>
    <s v="Netral"/>
  </r>
  <r>
    <x v="981"/>
    <x v="1"/>
    <x v="83"/>
    <d v="1899-12-30T01:48:00"/>
    <s v="&quot;Aplikasi My Xl tidak bisa terbuka padahal jaringan data full dan ada..tapi pada saat buka aplikasi sangat lama dan ada keluar tulisan koneksi tidak ada,padahal buka youtube lancar,wa smw lancar dan kuota internet.ini kenapa ya????&quot;"/>
    <x v="1"/>
    <x v="1"/>
    <x v="1"/>
    <s v="0.0"/>
    <s v="NULL"/>
    <s v="Neutral"/>
    <x v="1"/>
    <x v="1"/>
    <s v="Netral"/>
  </r>
  <r>
    <x v="982"/>
    <x v="1"/>
    <x v="83"/>
    <d v="1899-12-30T16:43:00"/>
    <s v="&quot;Dear Xl-AXIATA Saya Eko Adha domisilisi di Serang Banten, setelah melakukan pengisian pulsa, sy mendapatkan sms /pemberitahuan bahwa sy mendapat kouta xtra sebesar 200MB (150MB lokal &amp; 50MB Nasional) nofikasi via sms &amp; apk menytakan bonus kouta anda sdh aktif, namun ketika sy nyalakan data cellular'nya pulsa sy di potong sebesar Rp. 4015, apa &amp; utk biaya apa pulsa sy di potong, hal ini tdklah fair, bayangkan ada brp juta pelanggan XL &amp; jika hal ini terjadi juga pd pelanggan lain ...!?&quot;"/>
    <x v="0"/>
    <x v="0"/>
    <x v="0"/>
    <s v="-1.0"/>
    <s v="NULL"/>
    <s v="Positive"/>
    <x v="0"/>
    <x v="2"/>
    <s v="Positif"/>
  </r>
  <r>
    <x v="983"/>
    <x v="2"/>
    <x v="83"/>
    <d v="1899-12-30T13:38:00"/>
    <s v="&quot;Plizz ini kalo ambil kuota itu bayar ngak sih????????????????????????????????????? Soal'nya aku mau ambil yg 28GB 30hari Di situ ada tulisan nya Rp 55.000.000 Terus ada tulisan di sebelah nya AKTIFKAN Itu bayar gak ya&quot;"/>
    <x v="1"/>
    <x v="1"/>
    <x v="1"/>
    <s v="0.0"/>
    <s v="NULL"/>
    <s v="Neutral"/>
    <x v="1"/>
    <x v="1"/>
    <s v="Netral"/>
  </r>
  <r>
    <x v="984"/>
    <x v="1"/>
    <x v="83"/>
    <d v="1899-12-30T12:36:00"/>
    <s v="&quot;Kenapa kalo kita beli paketan data, terus paketan data yang sebelumnya langsung Angus???????? Misal gw beli paket yang 20+40, itu masih kisaran 15gb an lagi Terus gak sengaja gw beli paket lagi yang 10+20, kenapa paketan yang 20+40 nya Angus???????? Gini amat nyari duit LOL&quot;"/>
    <x v="0"/>
    <x v="0"/>
    <x v="0"/>
    <s v="-1.0"/>
    <s v="NULL"/>
    <s v="Positive"/>
    <x v="0"/>
    <x v="2"/>
    <s v="Positif"/>
  </r>
  <r>
    <x v="985"/>
    <x v="1"/>
    <x v="83"/>
    <d v="1899-12-30T11:36:00"/>
    <s v="&quot;Ada apa ini .....?? kenapa belakangan ini jaringan nya makin parah aja....sampe nonton YouTube aja harus di resolusi 144 baru bisa jalan...apa faktor cuaca ..atau ada kendala teknis .... soalnya bukan cumna saya...tmn saya semuanya yg pake XL punya keluhan yg sama...tolong lahhh segera di perbaiki....&quot;"/>
    <x v="0"/>
    <x v="0"/>
    <x v="0"/>
    <s v="-1.0"/>
    <s v="NULL"/>
    <s v="Neutral"/>
    <x v="0"/>
    <x v="1"/>
    <s v="Positif"/>
  </r>
  <r>
    <x v="986"/>
    <x v="3"/>
    <x v="83"/>
    <d v="1899-12-30T11:31:00"/>
    <s v="&quot;Tolooooongggg di perbaiki... Jaringan lemot bvt padahal kuota banyak... Gimana dong... Sy sudah minta di perbaiki ber x x tp tetep saja lemot. Penting untuk internett&quot;"/>
    <x v="0"/>
    <x v="0"/>
    <x v="0"/>
    <s v="-1.0"/>
    <s v="NULL"/>
    <s v="Neutral"/>
    <x v="0"/>
    <x v="1"/>
    <s v="Positif"/>
  </r>
  <r>
    <x v="987"/>
    <x v="1"/>
    <x v="83"/>
    <d v="1899-12-30T10:54:00"/>
    <s v="&quot;Layananya aneh sekali, call center xl sekrng isinya fokus iklan, gak fokus pelayanan konsumen, aplikasi nya aneh, live chatnya paling aneh baru masuk dah ilklan produk, gak nyambung lagi, live customer service nya lamaaaa sekali balesnya,nggu jawabn bisa 3 menitan, klo kita gak bales di tinggal pergi, kudu sabarrr pake bgt&quot;"/>
    <x v="0"/>
    <x v="0"/>
    <x v="0"/>
    <s v="-1.0"/>
    <s v="NULL"/>
    <s v="Neutral"/>
    <x v="0"/>
    <x v="1"/>
    <s v="Positif"/>
  </r>
  <r>
    <x v="988"/>
    <x v="1"/>
    <x v="84"/>
    <d v="1899-12-30T03:14:00"/>
    <s v="&quot;Kadang suka susah masuk ke dalam aplikasi padahal kuota ada, wifi ada, jaringan bagus nonton youtube atau buka aplikasi lainnya lancar, tapi mau masuk ke aplikasi ini suka gabisa alasannya perbarui jaringan terus, mohon dimaksimalkan lagi&quot;"/>
    <x v="1"/>
    <x v="1"/>
    <x v="1"/>
    <s v="0.0"/>
    <s v="NULL"/>
    <s v="Neutral"/>
    <x v="1"/>
    <x v="1"/>
    <s v="Netral"/>
  </r>
  <r>
    <x v="989"/>
    <x v="1"/>
    <x v="84"/>
    <d v="1899-12-30T16:19:00"/>
    <s v="&quot;19 November 2021 pulsa saya berkurang Rp.72.688,- padahal saya gak melakukan transaksi apapun tapi saya cek history di aplikasi ada riwayat pembelian paket.. Saya orang miskin, pulsa lagi di iritÃ‚Â² .. Tolong kembalikan pulsa saya..&quot;"/>
    <x v="1"/>
    <x v="1"/>
    <x v="1"/>
    <s v="0.0"/>
    <s v="NULL"/>
    <s v="Neutral"/>
    <x v="1"/>
    <x v="1"/>
    <s v="Netral"/>
  </r>
  <r>
    <x v="990"/>
    <x v="1"/>
    <x v="84"/>
    <d v="1899-12-30T16:10:00"/>
    <s v="&quot;Apk gak jelas asli.... Beli paketan gk bisa bisa..pdhl udh di update..nyambung wifi kenceng jg...masak harus beli lewat voucher trs....cek kuota jg sering masalah...ini apk siap pakai apa gk sih&quot;"/>
    <x v="0"/>
    <x v="0"/>
    <x v="0"/>
    <s v="-1.0"/>
    <s v="NULL"/>
    <s v="Neutral"/>
    <x v="0"/>
    <x v="1"/>
    <s v="Positif"/>
  </r>
  <r>
    <x v="991"/>
    <x v="1"/>
    <x v="84"/>
    <d v="1899-12-30T14:38:00"/>
    <s v="&quot;Xl kartu asu,, jaringan full Kuota banyak ,, tapi malah ga bisa akses ke internet,, harga mahal,, tolong admin lebih teliti lagi,, auto uninstall langsung ganti kartu lain&quot;"/>
    <x v="0"/>
    <x v="0"/>
    <x v="0"/>
    <s v="-1.0"/>
    <s v="NULL"/>
    <s v="Neutral"/>
    <x v="0"/>
    <x v="1"/>
    <s v="Positif"/>
  </r>
  <r>
    <x v="992"/>
    <x v="1"/>
    <x v="85"/>
    <d v="1899-12-30T06:59:00"/>
    <s v="&quot;Sinyal XL parah sekali, saya turunin lagi jadi bintang 1. Parah banget beli pulsa 100 rb, pulsa orang hilang gitu aja tanpa ada riwayat yg jelas. Ko pulsa orang main ambil gitu sih.&quot;"/>
    <x v="0"/>
    <x v="0"/>
    <x v="0"/>
    <s v="-1.0"/>
    <s v="NULL"/>
    <s v="Neutral"/>
    <x v="0"/>
    <x v="1"/>
    <s v="Positif"/>
  </r>
  <r>
    <x v="993"/>
    <x v="1"/>
    <x v="85"/>
    <d v="1899-12-30T02:27:00"/>
    <s v="&quot;Saya sudah membeli paket kuota melalui App, pembayarnya lewat BRIMO. Pembayaran sdh sukses/ berhasil. Tp paket belum masuk. Sy coba melalu chat di live chat tp pesannya otomatis&quot;"/>
    <x v="1"/>
    <x v="1"/>
    <x v="1"/>
    <s v="0.0"/>
    <s v="NULL"/>
    <s v="Neutral"/>
    <x v="1"/>
    <x v="1"/>
    <s v="Netral"/>
  </r>
  <r>
    <x v="994"/>
    <x v="1"/>
    <x v="85"/>
    <d v="1899-12-30T22:35:00"/>
    <s v="&quot;Xl sekarang beda sama dulu, sekarang xl borosnya kebangetan, masa iya 10 GB gk nyampe 2 minggu, pdhal jarang dipake, cuma di pake pas penting aja, buka youtube juga gk pernah, dulu pake xl 11 GB bisa nyampe 3 minggu, skrang 1 hari abis 1 gb, bener bener deh kalo data seluler gk dimatiin mski pun gk di pake nyedot bgt ke kuota, kalo ini bkn nomor penting aku udah ganti kartu dr kemaren kmaren&quot;"/>
    <x v="0"/>
    <x v="0"/>
    <x v="0"/>
    <s v="-1.0"/>
    <s v="NULL"/>
    <s v="Neutral"/>
    <x v="0"/>
    <x v="1"/>
    <s v="Positif"/>
  </r>
  <r>
    <x v="995"/>
    <x v="3"/>
    <x v="85"/>
    <d v="1899-12-30T16:57:00"/>
    <s v="&quot;Sebagai Pelanggan Setia XL Bertahun tahun , Kecewa dengan Layanan XL sekarang . Jaringan Internet tidak sesuai dengan yg d harapkan padahal sdh memakai Paket VIP . Semoga dengan banyaknya masukan dr para pelanggan , XL bisa lebih baik lagi . Tolong yang jawab jangan Boot !!! Terima kasih&quot;"/>
    <x v="1"/>
    <x v="1"/>
    <x v="1"/>
    <s v="0.0"/>
    <s v="NULL"/>
    <s v="Positive"/>
    <x v="1"/>
    <x v="2"/>
    <s v="Netral"/>
  </r>
  <r>
    <x v="996"/>
    <x v="1"/>
    <x v="85"/>
    <d v="1899-12-30T16:43:00"/>
    <s v="&quot;Suka boros kalo pake sekali beli mahal bgt kalo dapet bonus eh pas dipakek di apk bonus ny yg abis kouta utama,gmn sih,apa lg buat nge game pasti keluar game mulu karena koneksi kalo pas mau abis malah lanjar gmn toh,kl pake bonus it langsung bisa gitu lho maksud ku ngak habisin kouta utama,knp ngak ad pembatasan pemakaian kouta jg jd boros ma kalap kalo maen hp nya sumpah dh kalo di kasih kaya gitu pasti awet jg sebulan,ih iyha jg ak dapet bonus buat akses ig gak bisa malah keluar keluar mulu&quot;"/>
    <x v="0"/>
    <x v="0"/>
    <x v="0"/>
    <s v="-1.0"/>
    <s v="NULL"/>
    <s v="Positive"/>
    <x v="0"/>
    <x v="2"/>
    <s v="Positif"/>
  </r>
  <r>
    <x v="997"/>
    <x v="1"/>
    <x v="85"/>
    <d v="1899-12-30T15:59:00"/>
    <s v="&quot;Kenapa jaringan XL leletnya minta ampun? Jaringan 4G Pdahal paket msih banyak. Dan terpaksa beli voucher XL lagi ternyata bisa itupun cmn 2 hari, kemudian lelet lagi. Ahkkkk sangat buruk sekali skrng XL. Sudah 3 hari sprti ini. Mau buka google tak bisa,cmn YouTube yg bisa Krn unlimited itupun lelet juga harus bersabar nungguinnya. Sepertinya bkn saya aja yg mengalaminya. Tolong diperbaiki supaya saya kasih bintang 5. Salam dari Pekanbaru&quot;"/>
    <x v="0"/>
    <x v="0"/>
    <x v="0"/>
    <s v="-1.0"/>
    <s v="NULL"/>
    <s v="Neutral"/>
    <x v="0"/>
    <x v="1"/>
    <s v="Positif"/>
  </r>
  <r>
    <x v="998"/>
    <x v="1"/>
    <x v="85"/>
    <d v="1899-12-30T13:01:00"/>
    <s v="&quot;Sedang terjadi kesalahan Maaf, untuk saat ini anda belum bisa masuk dan menggunakan layanan myXL. Silahkan coba beberapa saat lagi. (Kode 4104) Bahkan lebih dari dua bulan gini terus&quot;"/>
    <x v="1"/>
    <x v="1"/>
    <x v="1"/>
    <s v="0.0"/>
    <s v="NULL"/>
    <s v="Neutral"/>
    <x v="1"/>
    <x v="1"/>
    <s v="Netr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D14BFB-3043-41BE-9DC9-6A548FBC5302}" name="PivotTable5" cacheId="1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E6:F12" firstHeaderRow="1" firstDataRow="1" firstDataCol="1"/>
  <pivotFields count="16">
    <pivotField showAll="0"/>
    <pivotField axis="axisRow" dataField="1" showAll="0">
      <items count="6">
        <item x="1"/>
        <item x="3"/>
        <item x="4"/>
        <item x="0"/>
        <item x="2"/>
        <item t="default"/>
      </items>
    </pivotField>
    <pivotField numFmtId="14" showAll="0">
      <items count="15">
        <item x="0"/>
        <item x="1"/>
        <item x="2"/>
        <item x="3"/>
        <item x="4"/>
        <item x="5"/>
        <item x="6"/>
        <item x="7"/>
        <item x="8"/>
        <item x="9"/>
        <item x="10"/>
        <item x="11"/>
        <item x="12"/>
        <item x="13"/>
        <item t="default"/>
      </items>
    </pivotField>
    <pivotField numFmtId="21" showAll="0"/>
    <pivotField showAll="0"/>
    <pivotField showAll="0"/>
    <pivotField showAll="0"/>
    <pivotField showAll="0"/>
    <pivotField showAll="0"/>
    <pivotField showAll="0"/>
    <pivotField showAll="0"/>
    <pivotField showAll="0">
      <items count="3">
        <item x="1"/>
        <item x="0"/>
        <item t="default"/>
      </items>
    </pivotField>
    <pivotField showAll="0">
      <items count="4">
        <item x="0"/>
        <item x="1"/>
        <item x="2"/>
        <item t="default"/>
      </items>
    </pivotField>
    <pivotField showAll="0"/>
    <pivotField showAll="0" defaultSubtotal="0"/>
    <pivotField showAll="0" defaultSubtotal="0"/>
  </pivotFields>
  <rowFields count="1">
    <field x="1"/>
  </rowFields>
  <rowItems count="6">
    <i>
      <x/>
    </i>
    <i>
      <x v="1"/>
    </i>
    <i>
      <x v="2"/>
    </i>
    <i>
      <x v="3"/>
    </i>
    <i>
      <x v="4"/>
    </i>
    <i t="grand">
      <x/>
    </i>
  </rowItems>
  <colItems count="1">
    <i/>
  </colItems>
  <dataFields count="1">
    <dataField name="Count of Score" fld="1" subtotal="count" baseField="1"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F09262-6F7B-4395-A1F7-BF16E17E89AE}" name="PivotTable3"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E3" firstHeaderRow="1" firstDataRow="1" firstDataCol="0"/>
  <pivotFields count="16">
    <pivotField dataField="1" showAll="0">
      <items count="1000">
        <item x="785"/>
        <item x="179"/>
        <item x="427"/>
        <item x="793"/>
        <item x="381"/>
        <item x="934"/>
        <item x="18"/>
        <item x="212"/>
        <item x="388"/>
        <item x="354"/>
        <item x="183"/>
        <item x="489"/>
        <item x="667"/>
        <item x="197"/>
        <item x="487"/>
        <item x="653"/>
        <item x="237"/>
        <item x="757"/>
        <item x="103"/>
        <item x="808"/>
        <item x="537"/>
        <item x="879"/>
        <item x="682"/>
        <item x="641"/>
        <item x="448"/>
        <item x="878"/>
        <item x="623"/>
        <item x="614"/>
        <item x="648"/>
        <item x="302"/>
        <item x="71"/>
        <item x="410"/>
        <item x="423"/>
        <item x="759"/>
        <item x="791"/>
        <item x="365"/>
        <item x="504"/>
        <item x="801"/>
        <item x="70"/>
        <item x="935"/>
        <item x="387"/>
        <item x="721"/>
        <item x="477"/>
        <item x="248"/>
        <item x="975"/>
        <item x="267"/>
        <item x="560"/>
        <item x="134"/>
        <item x="966"/>
        <item x="351"/>
        <item x="807"/>
        <item x="943"/>
        <item x="425"/>
        <item x="952"/>
        <item x="578"/>
        <item x="472"/>
        <item x="347"/>
        <item x="35"/>
        <item x="695"/>
        <item x="539"/>
        <item x="338"/>
        <item x="821"/>
        <item x="90"/>
        <item x="624"/>
        <item x="806"/>
        <item x="891"/>
        <item x="225"/>
        <item x="619"/>
        <item x="606"/>
        <item x="168"/>
        <item x="246"/>
        <item x="7"/>
        <item x="312"/>
        <item x="390"/>
        <item x="255"/>
        <item x="970"/>
        <item x="697"/>
        <item x="591"/>
        <item x="89"/>
        <item x="182"/>
        <item x="994"/>
        <item x="377"/>
        <item x="628"/>
        <item x="663"/>
        <item x="16"/>
        <item x="816"/>
        <item x="422"/>
        <item x="214"/>
        <item x="293"/>
        <item x="495"/>
        <item x="485"/>
        <item x="805"/>
        <item x="887"/>
        <item x="10"/>
        <item x="823"/>
        <item x="177"/>
        <item x="965"/>
        <item x="960"/>
        <item x="627"/>
        <item x="228"/>
        <item x="672"/>
        <item x="617"/>
        <item x="119"/>
        <item x="913"/>
        <item x="394"/>
        <item x="189"/>
        <item x="932"/>
        <item x="745"/>
        <item x="904"/>
        <item x="484"/>
        <item x="662"/>
        <item x="762"/>
        <item x="115"/>
        <item x="316"/>
        <item x="548"/>
        <item x="784"/>
        <item x="905"/>
        <item x="366"/>
        <item x="978"/>
        <item x="967"/>
        <item x="92"/>
        <item x="712"/>
        <item x="337"/>
        <item x="810"/>
        <item x="918"/>
        <item x="155"/>
        <item x="938"/>
        <item x="894"/>
        <item x="769"/>
        <item x="677"/>
        <item x="108"/>
        <item x="689"/>
        <item x="995"/>
        <item x="685"/>
        <item x="111"/>
        <item x="449"/>
        <item x="912"/>
        <item x="52"/>
        <item x="949"/>
        <item x="379"/>
        <item x="845"/>
        <item x="772"/>
        <item x="876"/>
        <item x="597"/>
        <item x="376"/>
        <item x="820"/>
        <item x="817"/>
        <item x="428"/>
        <item x="453"/>
        <item x="900"/>
        <item x="870"/>
        <item x="352"/>
        <item x="442"/>
        <item x="447"/>
        <item x="438"/>
        <item x="765"/>
        <item x="843"/>
        <item x="42"/>
        <item x="687"/>
        <item x="601"/>
        <item x="469"/>
        <item x="649"/>
        <item x="247"/>
        <item x="826"/>
        <item x="824"/>
        <item x="152"/>
        <item x="834"/>
        <item x="123"/>
        <item x="761"/>
        <item x="424"/>
        <item x="749"/>
        <item x="28"/>
        <item x="307"/>
        <item x="538"/>
        <item x="101"/>
        <item x="655"/>
        <item x="67"/>
        <item x="673"/>
        <item x="786"/>
        <item x="771"/>
        <item x="959"/>
        <item x="914"/>
        <item x="60"/>
        <item x="864"/>
        <item x="475"/>
        <item x="996"/>
        <item x="520"/>
        <item x="114"/>
        <item x="875"/>
        <item x="686"/>
        <item x="867"/>
        <item x="73"/>
        <item x="599"/>
        <item x="612"/>
        <item x="402"/>
        <item x="97"/>
        <item x="717"/>
        <item x="418"/>
        <item x="405"/>
        <item x="586"/>
        <item x="908"/>
        <item x="927"/>
        <item x="584"/>
        <item x="798"/>
        <item x="328"/>
        <item x="916"/>
        <item x="492"/>
        <item x="775"/>
        <item x="149"/>
        <item x="665"/>
        <item x="313"/>
        <item x="93"/>
        <item x="91"/>
        <item x="842"/>
        <item x="518"/>
        <item x="164"/>
        <item x="195"/>
        <item x="552"/>
        <item x="63"/>
        <item x="251"/>
        <item x="282"/>
        <item x="344"/>
        <item x="264"/>
        <item x="250"/>
        <item x="26"/>
        <item x="740"/>
        <item x="56"/>
        <item x="203"/>
        <item x="544"/>
        <item x="48"/>
        <item x="742"/>
        <item x="66"/>
        <item x="637"/>
        <item x="703"/>
        <item x="736"/>
        <item x="265"/>
        <item x="605"/>
        <item x="508"/>
        <item x="526"/>
        <item x="454"/>
        <item x="289"/>
        <item x="261"/>
        <item x="230"/>
        <item x="568"/>
        <item x="898"/>
        <item x="827"/>
        <item x="11"/>
        <item x="509"/>
        <item x="283"/>
        <item x="522"/>
        <item x="286"/>
        <item x="844"/>
        <item x="503"/>
        <item x="223"/>
        <item x="849"/>
        <item x="570"/>
        <item x="260"/>
        <item x="39"/>
        <item x="331"/>
        <item x="470"/>
        <item x="519"/>
        <item x="241"/>
        <item x="763"/>
        <item x="266"/>
        <item x="408"/>
        <item x="0"/>
        <item x="835"/>
        <item x="581"/>
        <item x="788"/>
        <item x="563"/>
        <item x="618"/>
        <item x="926"/>
        <item x="325"/>
        <item x="314"/>
        <item x="582"/>
        <item x="398"/>
        <item x="391"/>
        <item x="831"/>
        <item x="153"/>
        <item x="713"/>
        <item x="630"/>
        <item x="242"/>
        <item x="832"/>
        <item x="654"/>
        <item x="375"/>
        <item x="44"/>
        <item x="576"/>
        <item x="950"/>
        <item x="234"/>
        <item x="657"/>
        <item x="79"/>
        <item x="476"/>
        <item x="116"/>
        <item x="75"/>
        <item x="305"/>
        <item x="594"/>
        <item x="169"/>
        <item x="739"/>
        <item x="96"/>
        <item x="181"/>
        <item x="921"/>
        <item x="459"/>
        <item x="639"/>
        <item x="547"/>
        <item x="633"/>
        <item x="794"/>
        <item x="587"/>
        <item x="457"/>
        <item x="533"/>
        <item x="580"/>
        <item x="219"/>
        <item x="829"/>
        <item x="700"/>
        <item x="296"/>
        <item x="34"/>
        <item x="193"/>
        <item x="980"/>
        <item x="997"/>
        <item x="946"/>
        <item x="680"/>
        <item x="121"/>
        <item x="557"/>
        <item x="885"/>
        <item x="159"/>
        <item x="464"/>
        <item x="515"/>
        <item x="750"/>
        <item x="157"/>
        <item x="125"/>
        <item x="666"/>
        <item x="319"/>
        <item x="752"/>
        <item x="577"/>
        <item x="889"/>
        <item x="647"/>
        <item x="929"/>
        <item x="220"/>
        <item x="928"/>
        <item x="36"/>
        <item x="727"/>
        <item x="756"/>
        <item x="778"/>
        <item x="779"/>
        <item x="768"/>
        <item x="349"/>
        <item x="528"/>
        <item x="129"/>
        <item x="38"/>
        <item x="156"/>
        <item x="569"/>
        <item x="868"/>
        <item x="833"/>
        <item x="301"/>
        <item x="693"/>
        <item x="309"/>
        <item x="987"/>
        <item x="33"/>
        <item x="738"/>
        <item x="146"/>
        <item x="746"/>
        <item x="574"/>
        <item x="471"/>
        <item x="259"/>
        <item x="652"/>
        <item x="796"/>
        <item x="936"/>
        <item x="958"/>
        <item x="620"/>
        <item x="148"/>
        <item x="907"/>
        <item x="357"/>
        <item x="866"/>
        <item x="165"/>
        <item x="976"/>
        <item x="873"/>
        <item x="645"/>
        <item x="741"/>
        <item x="369"/>
        <item x="384"/>
        <item x="626"/>
        <item x="803"/>
        <item x="555"/>
        <item x="281"/>
        <item x="516"/>
        <item x="46"/>
        <item x="716"/>
        <item x="444"/>
        <item x="494"/>
        <item x="488"/>
        <item x="507"/>
        <item x="395"/>
        <item x="837"/>
        <item x="925"/>
        <item x="463"/>
        <item x="47"/>
        <item x="113"/>
        <item x="433"/>
        <item x="664"/>
        <item x="764"/>
        <item x="69"/>
        <item x="541"/>
        <item x="421"/>
        <item x="239"/>
        <item x="188"/>
        <item x="54"/>
        <item x="851"/>
        <item x="524"/>
        <item x="819"/>
        <item x="723"/>
        <item x="708"/>
        <item x="919"/>
        <item x="216"/>
        <item x="345"/>
        <item x="479"/>
        <item x="903"/>
        <item x="322"/>
        <item x="147"/>
        <item x="846"/>
        <item x="542"/>
        <item x="17"/>
        <item x="497"/>
        <item x="252"/>
        <item x="709"/>
        <item x="651"/>
        <item x="29"/>
        <item x="324"/>
        <item x="579"/>
        <item x="963"/>
        <item x="1"/>
        <item x="132"/>
        <item x="540"/>
        <item x="294"/>
        <item x="429"/>
        <item x="776"/>
        <item x="253"/>
        <item x="95"/>
        <item x="333"/>
        <item x="711"/>
        <item x="417"/>
        <item x="170"/>
        <item x="61"/>
        <item x="957"/>
        <item x="185"/>
        <item x="80"/>
        <item x="399"/>
        <item x="53"/>
        <item x="396"/>
        <item x="592"/>
        <item x="208"/>
        <item x="933"/>
        <item x="274"/>
        <item x="979"/>
        <item x="222"/>
        <item x="273"/>
        <item x="690"/>
        <item x="138"/>
        <item x="480"/>
        <item x="789"/>
        <item x="231"/>
        <item x="326"/>
        <item x="409"/>
        <item x="107"/>
        <item x="330"/>
        <item x="144"/>
        <item x="6"/>
        <item x="315"/>
        <item x="102"/>
        <item x="372"/>
        <item x="896"/>
        <item x="124"/>
        <item x="465"/>
        <item x="669"/>
        <item x="615"/>
        <item x="215"/>
        <item x="343"/>
        <item x="227"/>
        <item x="481"/>
        <item x="735"/>
        <item x="678"/>
        <item x="676"/>
        <item x="483"/>
        <item x="411"/>
        <item x="23"/>
        <item x="110"/>
        <item x="969"/>
        <item x="334"/>
        <item x="99"/>
        <item x="616"/>
        <item x="397"/>
        <item x="94"/>
        <item x="644"/>
        <item x="940"/>
        <item x="536"/>
        <item x="224"/>
        <item x="602"/>
        <item x="244"/>
        <item x="499"/>
        <item x="643"/>
        <item x="917"/>
        <item x="413"/>
        <item x="743"/>
        <item x="175"/>
        <item x="441"/>
        <item x="828"/>
        <item x="341"/>
        <item x="45"/>
        <item x="166"/>
        <item x="112"/>
        <item x="550"/>
        <item x="777"/>
        <item x="318"/>
        <item x="758"/>
        <item x="104"/>
        <item x="321"/>
        <item x="968"/>
        <item x="236"/>
        <item x="613"/>
        <item x="271"/>
        <item x="258"/>
        <item x="684"/>
        <item x="162"/>
        <item x="336"/>
        <item x="631"/>
        <item x="58"/>
        <item x="589"/>
        <item x="414"/>
        <item x="897"/>
        <item x="81"/>
        <item x="276"/>
        <item x="404"/>
        <item x="559"/>
        <item x="268"/>
        <item x="567"/>
        <item x="726"/>
        <item x="40"/>
        <item x="696"/>
        <item x="145"/>
        <item x="135"/>
        <item x="249"/>
        <item x="65"/>
        <item x="5"/>
        <item x="610"/>
        <item x="458"/>
        <item x="782"/>
        <item x="43"/>
        <item x="323"/>
        <item x="529"/>
        <item x="455"/>
        <item x="609"/>
        <item x="467"/>
        <item x="154"/>
        <item x="857"/>
        <item x="456"/>
        <item x="853"/>
        <item x="668"/>
        <item x="136"/>
        <item x="277"/>
        <item x="392"/>
        <item x="229"/>
        <item x="884"/>
        <item x="890"/>
        <item x="911"/>
        <item x="658"/>
        <item x="881"/>
        <item x="21"/>
        <item x="55"/>
        <item x="493"/>
        <item x="361"/>
        <item x="199"/>
        <item x="642"/>
        <item x="858"/>
        <item x="364"/>
        <item x="299"/>
        <item x="436"/>
        <item x="562"/>
        <item x="263"/>
        <item x="724"/>
        <item x="451"/>
        <item x="854"/>
        <item x="751"/>
        <item x="869"/>
        <item x="180"/>
        <item x="585"/>
        <item x="991"/>
        <item x="874"/>
        <item x="161"/>
        <item x="590"/>
        <item x="443"/>
        <item x="206"/>
        <item x="923"/>
        <item x="787"/>
        <item x="198"/>
        <item x="635"/>
        <item x="140"/>
        <item x="32"/>
        <item x="865"/>
        <item x="531"/>
        <item x="358"/>
        <item x="120"/>
        <item x="306"/>
        <item x="139"/>
        <item x="872"/>
        <item x="899"/>
        <item x="486"/>
        <item x="815"/>
        <item x="62"/>
        <item x="937"/>
        <item x="812"/>
        <item x="106"/>
        <item x="173"/>
        <item x="754"/>
        <item x="510"/>
        <item x="2"/>
        <item x="621"/>
        <item x="205"/>
        <item x="256"/>
        <item x="440"/>
        <item x="836"/>
        <item x="126"/>
        <item x="432"/>
        <item x="386"/>
        <item x="973"/>
        <item x="722"/>
        <item x="767"/>
        <item x="886"/>
        <item x="310"/>
        <item x="131"/>
        <item x="733"/>
        <item x="922"/>
        <item x="813"/>
        <item x="512"/>
        <item x="25"/>
        <item x="989"/>
        <item x="511"/>
        <item x="210"/>
        <item x="360"/>
        <item x="629"/>
        <item x="556"/>
        <item x="350"/>
        <item x="262"/>
        <item x="74"/>
        <item x="992"/>
        <item x="461"/>
        <item x="445"/>
        <item x="575"/>
        <item x="702"/>
        <item x="105"/>
        <item x="747"/>
        <item x="822"/>
        <item x="371"/>
        <item x="342"/>
        <item x="811"/>
        <item x="797"/>
        <item x="368"/>
        <item x="984"/>
        <item x="882"/>
        <item x="535"/>
        <item x="403"/>
        <item x="303"/>
        <item x="998"/>
        <item x="659"/>
        <item x="956"/>
        <item x="304"/>
        <item x="893"/>
        <item x="961"/>
        <item x="863"/>
        <item x="482"/>
        <item x="300"/>
        <item x="243"/>
        <item x="308"/>
        <item x="221"/>
        <item x="895"/>
        <item x="830"/>
        <item x="530"/>
        <item x="278"/>
        <item x="473"/>
        <item x="501"/>
        <item x="650"/>
        <item x="171"/>
        <item x="474"/>
        <item x="945"/>
        <item x="191"/>
        <item x="505"/>
        <item x="339"/>
        <item x="640"/>
        <item x="915"/>
        <item x="24"/>
        <item x="671"/>
        <item x="297"/>
        <item x="883"/>
        <item x="729"/>
        <item x="924"/>
        <item x="291"/>
        <item x="491"/>
        <item x="839"/>
        <item x="118"/>
        <item x="603"/>
        <item x="558"/>
        <item x="204"/>
        <item x="593"/>
        <item x="944"/>
        <item x="186"/>
        <item x="22"/>
        <item x="434"/>
        <item x="184"/>
        <item x="607"/>
        <item x="534"/>
        <item x="15"/>
        <item x="380"/>
        <item x="77"/>
        <item x="715"/>
        <item x="245"/>
        <item x="233"/>
        <item x="158"/>
        <item x="514"/>
        <item x="187"/>
        <item x="646"/>
        <item x="468"/>
        <item x="527"/>
        <item x="770"/>
        <item x="78"/>
        <item x="367"/>
        <item x="825"/>
        <item x="792"/>
        <item x="64"/>
        <item x="804"/>
        <item x="638"/>
        <item x="356"/>
        <item x="988"/>
        <item x="604"/>
        <item x="130"/>
        <item x="280"/>
        <item x="790"/>
        <item x="982"/>
        <item x="213"/>
        <item x="419"/>
        <item x="800"/>
        <item x="906"/>
        <item x="370"/>
        <item x="4"/>
        <item x="661"/>
        <item x="426"/>
        <item x="232"/>
        <item x="496"/>
        <item x="416"/>
        <item x="941"/>
        <item x="460"/>
        <item x="122"/>
        <item x="295"/>
        <item x="254"/>
        <item x="939"/>
        <item x="57"/>
        <item x="211"/>
        <item x="755"/>
        <item x="513"/>
        <item x="521"/>
        <item x="355"/>
        <item x="275"/>
        <item x="902"/>
        <item x="611"/>
        <item x="718"/>
        <item x="393"/>
        <item x="545"/>
        <item x="704"/>
        <item x="783"/>
        <item x="117"/>
        <item x="766"/>
        <item x="675"/>
        <item x="855"/>
        <item x="490"/>
        <item x="920"/>
        <item x="698"/>
        <item x="412"/>
        <item x="728"/>
        <item x="553"/>
        <item x="681"/>
        <item x="83"/>
        <item x="814"/>
        <item x="150"/>
        <item x="50"/>
        <item x="561"/>
        <item x="990"/>
        <item x="133"/>
        <item x="705"/>
        <item x="240"/>
        <item x="670"/>
        <item x="272"/>
        <item x="340"/>
        <item x="19"/>
        <item x="551"/>
        <item x="86"/>
        <item x="406"/>
        <item x="714"/>
        <item x="329"/>
        <item x="151"/>
        <item x="947"/>
        <item x="847"/>
        <item x="12"/>
        <item x="737"/>
        <item x="964"/>
        <item x="802"/>
        <item x="373"/>
        <item x="859"/>
        <item x="986"/>
        <item x="290"/>
        <item x="82"/>
        <item x="217"/>
        <item x="194"/>
        <item x="285"/>
        <item x="774"/>
        <item x="235"/>
        <item x="871"/>
        <item x="137"/>
        <item x="269"/>
        <item x="974"/>
        <item x="848"/>
        <item x="452"/>
        <item x="901"/>
        <item x="622"/>
        <item x="506"/>
        <item x="720"/>
        <item x="88"/>
        <item x="688"/>
        <item x="840"/>
        <item x="502"/>
        <item x="962"/>
        <item x="288"/>
        <item x="877"/>
        <item x="389"/>
        <item x="437"/>
        <item x="954"/>
        <item x="983"/>
        <item x="860"/>
        <item x="420"/>
        <item x="382"/>
        <item x="142"/>
        <item x="174"/>
        <item x="478"/>
        <item x="374"/>
        <item x="634"/>
        <item x="838"/>
        <item x="109"/>
        <item x="72"/>
        <item x="706"/>
        <item x="953"/>
        <item x="731"/>
        <item x="98"/>
        <item x="732"/>
        <item x="972"/>
        <item x="450"/>
        <item x="841"/>
        <item x="951"/>
        <item x="554"/>
        <item x="348"/>
        <item x="710"/>
        <item x="335"/>
        <item x="566"/>
        <item x="573"/>
        <item x="84"/>
        <item x="41"/>
        <item x="20"/>
        <item x="346"/>
        <item x="196"/>
        <item x="799"/>
        <item x="862"/>
        <item x="572"/>
        <item x="564"/>
        <item x="163"/>
        <item x="178"/>
        <item x="699"/>
        <item x="279"/>
        <item x="13"/>
        <item x="128"/>
        <item x="270"/>
        <item x="30"/>
        <item x="362"/>
        <item x="543"/>
        <item x="192"/>
        <item x="525"/>
        <item x="753"/>
        <item x="378"/>
        <item x="176"/>
        <item x="37"/>
        <item x="298"/>
        <item x="595"/>
        <item x="719"/>
        <item x="861"/>
        <item x="202"/>
        <item x="608"/>
        <item x="14"/>
        <item x="383"/>
        <item x="981"/>
        <item x="498"/>
        <item x="632"/>
        <item x="160"/>
        <item x="209"/>
        <item x="701"/>
        <item x="400"/>
        <item x="190"/>
        <item x="167"/>
        <item x="691"/>
        <item x="993"/>
        <item x="694"/>
        <item x="446"/>
        <item x="985"/>
        <item x="955"/>
        <item x="674"/>
        <item x="571"/>
        <item x="87"/>
        <item x="172"/>
        <item x="598"/>
        <item x="415"/>
        <item x="679"/>
        <item x="9"/>
        <item x="85"/>
        <item x="600"/>
        <item x="532"/>
        <item x="818"/>
        <item x="27"/>
        <item x="200"/>
        <item x="435"/>
        <item x="317"/>
        <item x="760"/>
        <item x="207"/>
        <item x="660"/>
        <item x="596"/>
        <item x="549"/>
        <item x="625"/>
        <item x="8"/>
        <item x="523"/>
        <item x="930"/>
        <item x="852"/>
        <item x="773"/>
        <item x="692"/>
        <item x="284"/>
        <item x="31"/>
        <item x="892"/>
        <item x="909"/>
        <item x="744"/>
        <item x="942"/>
        <item x="143"/>
        <item x="809"/>
        <item x="748"/>
        <item x="292"/>
        <item x="311"/>
        <item x="430"/>
        <item x="407"/>
        <item x="583"/>
        <item x="385"/>
        <item x="931"/>
        <item x="3"/>
        <item x="257"/>
        <item x="546"/>
        <item x="320"/>
        <item x="517"/>
        <item x="51"/>
        <item x="100"/>
        <item x="439"/>
        <item x="201"/>
        <item x="359"/>
        <item x="238"/>
        <item x="725"/>
        <item x="332"/>
        <item x="636"/>
        <item x="226"/>
        <item x="127"/>
        <item x="707"/>
        <item x="287"/>
        <item x="588"/>
        <item x="565"/>
        <item x="401"/>
        <item x="500"/>
        <item x="734"/>
        <item x="218"/>
        <item x="856"/>
        <item x="977"/>
        <item x="68"/>
        <item x="59"/>
        <item x="795"/>
        <item x="910"/>
        <item x="462"/>
        <item x="888"/>
        <item x="141"/>
        <item x="363"/>
        <item x="76"/>
        <item x="683"/>
        <item x="730"/>
        <item x="780"/>
        <item x="431"/>
        <item x="49"/>
        <item x="656"/>
        <item x="971"/>
        <item x="327"/>
        <item x="880"/>
        <item x="948"/>
        <item x="781"/>
        <item x="466"/>
        <item x="850"/>
        <item x="353"/>
        <item t="default"/>
      </items>
    </pivotField>
    <pivotField showAll="0"/>
    <pivotField numFmtId="14" showAll="0"/>
    <pivotField numFmtId="21"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Count of User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3F59E1-6900-487A-9775-0691C724F0EA}" name="PivotTable2" cacheId="1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12:B16" firstHeaderRow="1" firstDataRow="1" firstDataCol="1"/>
  <pivotFields count="16">
    <pivotField showAll="0"/>
    <pivotField showAll="0"/>
    <pivotField numFmtId="14" showAll="0">
      <items count="15">
        <item x="0"/>
        <item x="1"/>
        <item x="2"/>
        <item x="3"/>
        <item x="4"/>
        <item x="5"/>
        <item x="6"/>
        <item x="7"/>
        <item x="8"/>
        <item x="9"/>
        <item x="10"/>
        <item x="11"/>
        <item x="12"/>
        <item x="13"/>
        <item t="default"/>
      </items>
    </pivotField>
    <pivotField numFmtId="21" showAll="0"/>
    <pivotField showAll="0"/>
    <pivotField showAll="0">
      <items count="5">
        <item x="0"/>
        <item x="2"/>
        <item x="1"/>
        <item x="3"/>
        <item t="default"/>
      </items>
    </pivotField>
    <pivotField showAll="0">
      <items count="5">
        <item x="0"/>
        <item x="2"/>
        <item x="1"/>
        <item x="3"/>
        <item t="default"/>
      </items>
    </pivotField>
    <pivotField showAll="0">
      <items count="5">
        <item x="0"/>
        <item x="2"/>
        <item x="1"/>
        <item x="3"/>
        <item t="default"/>
      </items>
    </pivotField>
    <pivotField showAll="0"/>
    <pivotField showAll="0"/>
    <pivotField showAll="0"/>
    <pivotField showAll="0">
      <items count="3">
        <item x="1"/>
        <item x="0"/>
        <item t="default"/>
      </items>
    </pivotField>
    <pivotField axis="axisRow" dataField="1" showAll="0">
      <items count="4">
        <item x="0"/>
        <item x="1"/>
        <item x="2"/>
        <item t="default"/>
      </items>
    </pivotField>
    <pivotField showAll="0"/>
    <pivotField showAll="0" defaultSubtotal="0"/>
    <pivotField showAll="0" defaultSubtotal="0"/>
  </pivotFields>
  <rowFields count="1">
    <field x="12"/>
  </rowFields>
  <rowItems count="4">
    <i>
      <x/>
    </i>
    <i>
      <x v="1"/>
    </i>
    <i>
      <x v="2"/>
    </i>
    <i t="grand">
      <x/>
    </i>
  </rowItems>
  <colItems count="1">
    <i/>
  </colItems>
  <dataFields count="1">
    <dataField name="Count of sentimen2" fld="12" subtotal="count"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816BB3-F55E-45D3-9D3C-E95AB54C55B5}" name="PivotTable1" cacheId="1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2:B9" firstHeaderRow="1" firstDataRow="1" firstDataCol="1"/>
  <pivotFields count="16">
    <pivotField showAll="0"/>
    <pivotField showAll="0"/>
    <pivotField axis="axisRow" numFmtId="14" showAll="0">
      <items count="15">
        <item x="0"/>
        <item x="1"/>
        <item x="2"/>
        <item x="3"/>
        <item x="4"/>
        <item x="5"/>
        <item x="6"/>
        <item x="7"/>
        <item x="8"/>
        <item x="9"/>
        <item x="10"/>
        <item x="11"/>
        <item x="12"/>
        <item x="13"/>
        <item t="default"/>
      </items>
    </pivotField>
    <pivotField numFmtId="21" showAll="0"/>
    <pivotField showAll="0"/>
    <pivotField showAll="0"/>
    <pivotField showAll="0"/>
    <pivotField showAll="0"/>
    <pivotField showAll="0"/>
    <pivotField showAll="0"/>
    <pivotField showAll="0"/>
    <pivotField showAll="0">
      <items count="3">
        <item x="1"/>
        <item x="0"/>
        <item t="default"/>
      </items>
    </pivotField>
    <pivotField dataField="1" showAll="0">
      <items count="4">
        <item x="0"/>
        <item x="1"/>
        <item x="2"/>
        <item t="default"/>
      </items>
    </pivotField>
    <pivotField showAll="0"/>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5"/>
    <field x="2"/>
  </rowFields>
  <rowItems count="7">
    <i>
      <x v="1"/>
    </i>
    <i r="1">
      <x v="11"/>
    </i>
    <i r="1">
      <x v="12"/>
    </i>
    <i>
      <x v="2"/>
    </i>
    <i r="1">
      <x v="1"/>
    </i>
    <i r="1">
      <x v="2"/>
    </i>
    <i t="grand">
      <x/>
    </i>
  </rowItems>
  <colItems count="1">
    <i/>
  </colItems>
  <dataFields count="1">
    <dataField name="Count of sentimen2" fld="12" subtotal="count" baseField="0" baseItem="0"/>
  </dataField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2">
          <reference field="4294967294" count="1" selected="0">
            <x v="0"/>
          </reference>
          <reference field="15" count="1" selected="0">
            <x v="2"/>
          </reference>
        </references>
      </pivotArea>
    </chartFormat>
    <chartFormat chart="3" format="1"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1AA3BD-826E-4D73-A9A2-F7996B52313A}" name="PivotTable7" cacheId="1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C14:C15" firstHeaderRow="1" firstDataRow="1" firstDataCol="0"/>
  <pivotFields count="16">
    <pivotField dataField="1" showAll="0">
      <items count="1000">
        <item x="785"/>
        <item x="179"/>
        <item x="427"/>
        <item x="793"/>
        <item x="381"/>
        <item x="934"/>
        <item x="18"/>
        <item x="212"/>
        <item x="388"/>
        <item x="354"/>
        <item x="183"/>
        <item x="489"/>
        <item x="667"/>
        <item x="197"/>
        <item x="487"/>
        <item x="653"/>
        <item x="237"/>
        <item x="757"/>
        <item x="103"/>
        <item x="808"/>
        <item x="537"/>
        <item x="879"/>
        <item x="682"/>
        <item x="641"/>
        <item x="448"/>
        <item x="878"/>
        <item x="623"/>
        <item x="614"/>
        <item x="648"/>
        <item x="302"/>
        <item x="71"/>
        <item x="410"/>
        <item x="423"/>
        <item x="759"/>
        <item x="791"/>
        <item x="365"/>
        <item x="504"/>
        <item x="801"/>
        <item x="70"/>
        <item x="935"/>
        <item x="387"/>
        <item x="721"/>
        <item x="477"/>
        <item x="248"/>
        <item x="975"/>
        <item x="267"/>
        <item x="560"/>
        <item x="134"/>
        <item x="966"/>
        <item x="351"/>
        <item x="807"/>
        <item x="943"/>
        <item x="425"/>
        <item x="952"/>
        <item x="578"/>
        <item x="472"/>
        <item x="347"/>
        <item x="35"/>
        <item x="695"/>
        <item x="539"/>
        <item x="338"/>
        <item x="821"/>
        <item x="90"/>
        <item x="624"/>
        <item x="806"/>
        <item x="891"/>
        <item x="225"/>
        <item x="619"/>
        <item x="606"/>
        <item x="168"/>
        <item x="246"/>
        <item x="7"/>
        <item x="312"/>
        <item x="390"/>
        <item x="255"/>
        <item x="970"/>
        <item x="697"/>
        <item x="591"/>
        <item x="89"/>
        <item x="182"/>
        <item x="994"/>
        <item x="377"/>
        <item x="628"/>
        <item x="663"/>
        <item x="16"/>
        <item x="816"/>
        <item x="422"/>
        <item x="214"/>
        <item x="293"/>
        <item x="495"/>
        <item x="485"/>
        <item x="805"/>
        <item x="887"/>
        <item x="10"/>
        <item x="823"/>
        <item x="177"/>
        <item x="965"/>
        <item x="960"/>
        <item x="627"/>
        <item x="228"/>
        <item x="672"/>
        <item x="617"/>
        <item x="119"/>
        <item x="913"/>
        <item x="394"/>
        <item x="189"/>
        <item x="932"/>
        <item x="745"/>
        <item x="904"/>
        <item x="484"/>
        <item x="662"/>
        <item x="762"/>
        <item x="115"/>
        <item x="316"/>
        <item x="548"/>
        <item x="784"/>
        <item x="905"/>
        <item x="366"/>
        <item x="978"/>
        <item x="967"/>
        <item x="92"/>
        <item x="712"/>
        <item x="337"/>
        <item x="810"/>
        <item x="918"/>
        <item x="155"/>
        <item x="938"/>
        <item x="894"/>
        <item x="769"/>
        <item x="677"/>
        <item x="108"/>
        <item x="689"/>
        <item x="995"/>
        <item x="685"/>
        <item x="111"/>
        <item x="449"/>
        <item x="912"/>
        <item x="52"/>
        <item x="949"/>
        <item x="379"/>
        <item x="845"/>
        <item x="772"/>
        <item x="876"/>
        <item x="597"/>
        <item x="376"/>
        <item x="820"/>
        <item x="817"/>
        <item x="428"/>
        <item x="453"/>
        <item x="900"/>
        <item x="870"/>
        <item x="352"/>
        <item x="442"/>
        <item x="447"/>
        <item x="438"/>
        <item x="765"/>
        <item x="843"/>
        <item x="42"/>
        <item x="687"/>
        <item x="601"/>
        <item x="469"/>
        <item x="649"/>
        <item x="247"/>
        <item x="826"/>
        <item x="824"/>
        <item x="152"/>
        <item x="834"/>
        <item x="123"/>
        <item x="761"/>
        <item x="424"/>
        <item x="749"/>
        <item x="28"/>
        <item x="307"/>
        <item x="538"/>
        <item x="101"/>
        <item x="655"/>
        <item x="67"/>
        <item x="673"/>
        <item x="786"/>
        <item x="771"/>
        <item x="959"/>
        <item x="914"/>
        <item x="60"/>
        <item x="864"/>
        <item x="475"/>
        <item x="996"/>
        <item x="520"/>
        <item x="114"/>
        <item x="875"/>
        <item x="686"/>
        <item x="867"/>
        <item x="73"/>
        <item x="599"/>
        <item x="612"/>
        <item x="402"/>
        <item x="97"/>
        <item x="717"/>
        <item x="418"/>
        <item x="405"/>
        <item x="586"/>
        <item x="908"/>
        <item x="927"/>
        <item x="584"/>
        <item x="798"/>
        <item x="328"/>
        <item x="916"/>
        <item x="492"/>
        <item x="775"/>
        <item x="149"/>
        <item x="665"/>
        <item x="313"/>
        <item x="93"/>
        <item x="91"/>
        <item x="842"/>
        <item x="518"/>
        <item x="164"/>
        <item x="195"/>
        <item x="552"/>
        <item x="63"/>
        <item x="251"/>
        <item x="282"/>
        <item x="344"/>
        <item x="264"/>
        <item x="250"/>
        <item x="26"/>
        <item x="740"/>
        <item x="56"/>
        <item x="203"/>
        <item x="544"/>
        <item x="48"/>
        <item x="742"/>
        <item x="66"/>
        <item x="637"/>
        <item x="703"/>
        <item x="736"/>
        <item x="265"/>
        <item x="605"/>
        <item x="508"/>
        <item x="526"/>
        <item x="454"/>
        <item x="289"/>
        <item x="261"/>
        <item x="230"/>
        <item x="568"/>
        <item x="898"/>
        <item x="827"/>
        <item x="11"/>
        <item x="509"/>
        <item x="283"/>
        <item x="522"/>
        <item x="286"/>
        <item x="844"/>
        <item x="503"/>
        <item x="223"/>
        <item x="849"/>
        <item x="570"/>
        <item x="260"/>
        <item x="39"/>
        <item x="331"/>
        <item x="470"/>
        <item x="519"/>
        <item x="241"/>
        <item x="763"/>
        <item x="266"/>
        <item x="408"/>
        <item x="0"/>
        <item x="835"/>
        <item x="581"/>
        <item x="788"/>
        <item x="563"/>
        <item x="618"/>
        <item x="926"/>
        <item x="325"/>
        <item x="314"/>
        <item x="582"/>
        <item x="398"/>
        <item x="391"/>
        <item x="831"/>
        <item x="153"/>
        <item x="713"/>
        <item x="630"/>
        <item x="242"/>
        <item x="832"/>
        <item x="654"/>
        <item x="375"/>
        <item x="44"/>
        <item x="576"/>
        <item x="950"/>
        <item x="234"/>
        <item x="657"/>
        <item x="79"/>
        <item x="476"/>
        <item x="116"/>
        <item x="75"/>
        <item x="305"/>
        <item x="594"/>
        <item x="169"/>
        <item x="739"/>
        <item x="96"/>
        <item x="181"/>
        <item x="921"/>
        <item x="459"/>
        <item x="639"/>
        <item x="547"/>
        <item x="633"/>
        <item x="794"/>
        <item x="587"/>
        <item x="457"/>
        <item x="533"/>
        <item x="580"/>
        <item x="219"/>
        <item x="829"/>
        <item x="700"/>
        <item x="296"/>
        <item x="34"/>
        <item x="193"/>
        <item x="980"/>
        <item x="997"/>
        <item x="946"/>
        <item x="680"/>
        <item x="121"/>
        <item x="557"/>
        <item x="885"/>
        <item x="159"/>
        <item x="464"/>
        <item x="515"/>
        <item x="750"/>
        <item x="157"/>
        <item x="125"/>
        <item x="666"/>
        <item x="319"/>
        <item x="752"/>
        <item x="577"/>
        <item x="889"/>
        <item x="647"/>
        <item x="929"/>
        <item x="220"/>
        <item x="928"/>
        <item x="36"/>
        <item x="727"/>
        <item x="756"/>
        <item x="778"/>
        <item x="779"/>
        <item x="768"/>
        <item x="349"/>
        <item x="528"/>
        <item x="129"/>
        <item x="38"/>
        <item x="156"/>
        <item x="569"/>
        <item x="868"/>
        <item x="833"/>
        <item x="301"/>
        <item x="693"/>
        <item x="309"/>
        <item x="987"/>
        <item x="33"/>
        <item x="738"/>
        <item x="146"/>
        <item x="746"/>
        <item x="574"/>
        <item x="471"/>
        <item x="259"/>
        <item x="652"/>
        <item x="796"/>
        <item x="936"/>
        <item x="958"/>
        <item x="620"/>
        <item x="148"/>
        <item x="907"/>
        <item x="357"/>
        <item x="866"/>
        <item x="165"/>
        <item x="976"/>
        <item x="873"/>
        <item x="645"/>
        <item x="741"/>
        <item x="369"/>
        <item x="384"/>
        <item x="626"/>
        <item x="803"/>
        <item x="555"/>
        <item x="281"/>
        <item x="516"/>
        <item x="46"/>
        <item x="716"/>
        <item x="444"/>
        <item x="494"/>
        <item x="488"/>
        <item x="507"/>
        <item x="395"/>
        <item x="837"/>
        <item x="925"/>
        <item x="463"/>
        <item x="47"/>
        <item x="113"/>
        <item x="433"/>
        <item x="664"/>
        <item x="764"/>
        <item x="69"/>
        <item x="541"/>
        <item x="421"/>
        <item x="239"/>
        <item x="188"/>
        <item x="54"/>
        <item x="851"/>
        <item x="524"/>
        <item x="819"/>
        <item x="723"/>
        <item x="708"/>
        <item x="919"/>
        <item x="216"/>
        <item x="345"/>
        <item x="479"/>
        <item x="903"/>
        <item x="322"/>
        <item x="147"/>
        <item x="846"/>
        <item x="542"/>
        <item x="17"/>
        <item x="497"/>
        <item x="252"/>
        <item x="709"/>
        <item x="651"/>
        <item x="29"/>
        <item x="324"/>
        <item x="579"/>
        <item x="963"/>
        <item x="1"/>
        <item x="132"/>
        <item x="540"/>
        <item x="294"/>
        <item x="429"/>
        <item x="776"/>
        <item x="253"/>
        <item x="95"/>
        <item x="333"/>
        <item x="711"/>
        <item x="417"/>
        <item x="170"/>
        <item x="61"/>
        <item x="957"/>
        <item x="185"/>
        <item x="80"/>
        <item x="399"/>
        <item x="53"/>
        <item x="396"/>
        <item x="592"/>
        <item x="208"/>
        <item x="933"/>
        <item x="274"/>
        <item x="979"/>
        <item x="222"/>
        <item x="273"/>
        <item x="690"/>
        <item x="138"/>
        <item x="480"/>
        <item x="789"/>
        <item x="231"/>
        <item x="326"/>
        <item x="409"/>
        <item x="107"/>
        <item x="330"/>
        <item x="144"/>
        <item x="6"/>
        <item x="315"/>
        <item x="102"/>
        <item x="372"/>
        <item x="896"/>
        <item x="124"/>
        <item x="465"/>
        <item x="669"/>
        <item x="615"/>
        <item x="215"/>
        <item x="343"/>
        <item x="227"/>
        <item x="481"/>
        <item x="735"/>
        <item x="678"/>
        <item x="676"/>
        <item x="483"/>
        <item x="411"/>
        <item x="23"/>
        <item x="110"/>
        <item x="969"/>
        <item x="334"/>
        <item x="99"/>
        <item x="616"/>
        <item x="397"/>
        <item x="94"/>
        <item x="644"/>
        <item x="940"/>
        <item x="536"/>
        <item x="224"/>
        <item x="602"/>
        <item x="244"/>
        <item x="499"/>
        <item x="643"/>
        <item x="917"/>
        <item x="413"/>
        <item x="743"/>
        <item x="175"/>
        <item x="441"/>
        <item x="828"/>
        <item x="341"/>
        <item x="45"/>
        <item x="166"/>
        <item x="112"/>
        <item x="550"/>
        <item x="777"/>
        <item x="318"/>
        <item x="758"/>
        <item x="104"/>
        <item x="321"/>
        <item x="968"/>
        <item x="236"/>
        <item x="613"/>
        <item x="271"/>
        <item x="258"/>
        <item x="684"/>
        <item x="162"/>
        <item x="336"/>
        <item x="631"/>
        <item x="58"/>
        <item x="589"/>
        <item x="414"/>
        <item x="897"/>
        <item x="81"/>
        <item x="276"/>
        <item x="404"/>
        <item x="559"/>
        <item x="268"/>
        <item x="567"/>
        <item x="726"/>
        <item x="40"/>
        <item x="696"/>
        <item x="145"/>
        <item x="135"/>
        <item x="249"/>
        <item x="65"/>
        <item x="5"/>
        <item x="610"/>
        <item x="458"/>
        <item x="782"/>
        <item x="43"/>
        <item x="323"/>
        <item x="529"/>
        <item x="455"/>
        <item x="609"/>
        <item x="467"/>
        <item x="154"/>
        <item x="857"/>
        <item x="456"/>
        <item x="853"/>
        <item x="668"/>
        <item x="136"/>
        <item x="277"/>
        <item x="392"/>
        <item x="229"/>
        <item x="884"/>
        <item x="890"/>
        <item x="911"/>
        <item x="658"/>
        <item x="881"/>
        <item x="21"/>
        <item x="55"/>
        <item x="493"/>
        <item x="361"/>
        <item x="199"/>
        <item x="642"/>
        <item x="858"/>
        <item x="364"/>
        <item x="299"/>
        <item x="436"/>
        <item x="562"/>
        <item x="263"/>
        <item x="724"/>
        <item x="451"/>
        <item x="854"/>
        <item x="751"/>
        <item x="869"/>
        <item x="180"/>
        <item x="585"/>
        <item x="991"/>
        <item x="874"/>
        <item x="161"/>
        <item x="590"/>
        <item x="443"/>
        <item x="206"/>
        <item x="923"/>
        <item x="787"/>
        <item x="198"/>
        <item x="635"/>
        <item x="140"/>
        <item x="32"/>
        <item x="865"/>
        <item x="531"/>
        <item x="358"/>
        <item x="120"/>
        <item x="306"/>
        <item x="139"/>
        <item x="872"/>
        <item x="899"/>
        <item x="486"/>
        <item x="815"/>
        <item x="62"/>
        <item x="937"/>
        <item x="812"/>
        <item x="106"/>
        <item x="173"/>
        <item x="754"/>
        <item x="510"/>
        <item x="2"/>
        <item x="621"/>
        <item x="205"/>
        <item x="256"/>
        <item x="440"/>
        <item x="836"/>
        <item x="126"/>
        <item x="432"/>
        <item x="386"/>
        <item x="973"/>
        <item x="722"/>
        <item x="767"/>
        <item x="886"/>
        <item x="310"/>
        <item x="131"/>
        <item x="733"/>
        <item x="922"/>
        <item x="813"/>
        <item x="512"/>
        <item x="25"/>
        <item x="989"/>
        <item x="511"/>
        <item x="210"/>
        <item x="360"/>
        <item x="629"/>
        <item x="556"/>
        <item x="350"/>
        <item x="262"/>
        <item x="74"/>
        <item x="992"/>
        <item x="461"/>
        <item x="445"/>
        <item x="575"/>
        <item x="702"/>
        <item x="105"/>
        <item x="747"/>
        <item x="822"/>
        <item x="371"/>
        <item x="342"/>
        <item x="811"/>
        <item x="797"/>
        <item x="368"/>
        <item x="984"/>
        <item x="882"/>
        <item x="535"/>
        <item x="403"/>
        <item x="303"/>
        <item x="998"/>
        <item x="659"/>
        <item x="956"/>
        <item x="304"/>
        <item x="893"/>
        <item x="961"/>
        <item x="863"/>
        <item x="482"/>
        <item x="300"/>
        <item x="243"/>
        <item x="308"/>
        <item x="221"/>
        <item x="895"/>
        <item x="830"/>
        <item x="530"/>
        <item x="278"/>
        <item x="473"/>
        <item x="501"/>
        <item x="650"/>
        <item x="171"/>
        <item x="474"/>
        <item x="945"/>
        <item x="191"/>
        <item x="505"/>
        <item x="339"/>
        <item x="640"/>
        <item x="915"/>
        <item x="24"/>
        <item x="671"/>
        <item x="297"/>
        <item x="883"/>
        <item x="729"/>
        <item x="924"/>
        <item x="291"/>
        <item x="491"/>
        <item x="839"/>
        <item x="118"/>
        <item x="603"/>
        <item x="558"/>
        <item x="204"/>
        <item x="593"/>
        <item x="944"/>
        <item x="186"/>
        <item x="22"/>
        <item x="434"/>
        <item x="184"/>
        <item x="607"/>
        <item x="534"/>
        <item x="15"/>
        <item x="380"/>
        <item x="77"/>
        <item x="715"/>
        <item x="245"/>
        <item x="233"/>
        <item x="158"/>
        <item x="514"/>
        <item x="187"/>
        <item x="646"/>
        <item x="468"/>
        <item x="527"/>
        <item x="770"/>
        <item x="78"/>
        <item x="367"/>
        <item x="825"/>
        <item x="792"/>
        <item x="64"/>
        <item x="804"/>
        <item x="638"/>
        <item x="356"/>
        <item x="988"/>
        <item x="604"/>
        <item x="130"/>
        <item x="280"/>
        <item x="790"/>
        <item x="982"/>
        <item x="213"/>
        <item x="419"/>
        <item x="800"/>
        <item x="906"/>
        <item x="370"/>
        <item x="4"/>
        <item x="661"/>
        <item x="426"/>
        <item x="232"/>
        <item x="496"/>
        <item x="416"/>
        <item x="941"/>
        <item x="460"/>
        <item x="122"/>
        <item x="295"/>
        <item x="254"/>
        <item x="939"/>
        <item x="57"/>
        <item x="211"/>
        <item x="755"/>
        <item x="513"/>
        <item x="521"/>
        <item x="355"/>
        <item x="275"/>
        <item x="902"/>
        <item x="611"/>
        <item x="718"/>
        <item x="393"/>
        <item x="545"/>
        <item x="704"/>
        <item x="783"/>
        <item x="117"/>
        <item x="766"/>
        <item x="675"/>
        <item x="855"/>
        <item x="490"/>
        <item x="920"/>
        <item x="698"/>
        <item x="412"/>
        <item x="728"/>
        <item x="553"/>
        <item x="681"/>
        <item x="83"/>
        <item x="814"/>
        <item x="150"/>
        <item x="50"/>
        <item x="561"/>
        <item x="990"/>
        <item x="133"/>
        <item x="705"/>
        <item x="240"/>
        <item x="670"/>
        <item x="272"/>
        <item x="340"/>
        <item x="19"/>
        <item x="551"/>
        <item x="86"/>
        <item x="406"/>
        <item x="714"/>
        <item x="329"/>
        <item x="151"/>
        <item x="947"/>
        <item x="847"/>
        <item x="12"/>
        <item x="737"/>
        <item x="964"/>
        <item x="802"/>
        <item x="373"/>
        <item x="859"/>
        <item x="986"/>
        <item x="290"/>
        <item x="82"/>
        <item x="217"/>
        <item x="194"/>
        <item x="285"/>
        <item x="774"/>
        <item x="235"/>
        <item x="871"/>
        <item x="137"/>
        <item x="269"/>
        <item x="974"/>
        <item x="848"/>
        <item x="452"/>
        <item x="901"/>
        <item x="622"/>
        <item x="506"/>
        <item x="720"/>
        <item x="88"/>
        <item x="688"/>
        <item x="840"/>
        <item x="502"/>
        <item x="962"/>
        <item x="288"/>
        <item x="877"/>
        <item x="389"/>
        <item x="437"/>
        <item x="954"/>
        <item x="983"/>
        <item x="860"/>
        <item x="420"/>
        <item x="382"/>
        <item x="142"/>
        <item x="174"/>
        <item x="478"/>
        <item x="374"/>
        <item x="634"/>
        <item x="838"/>
        <item x="109"/>
        <item x="72"/>
        <item x="706"/>
        <item x="953"/>
        <item x="731"/>
        <item x="98"/>
        <item x="732"/>
        <item x="972"/>
        <item x="450"/>
        <item x="841"/>
        <item x="951"/>
        <item x="554"/>
        <item x="348"/>
        <item x="710"/>
        <item x="335"/>
        <item x="566"/>
        <item x="573"/>
        <item x="84"/>
        <item x="41"/>
        <item x="20"/>
        <item x="346"/>
        <item x="196"/>
        <item x="799"/>
        <item x="862"/>
        <item x="572"/>
        <item x="564"/>
        <item x="163"/>
        <item x="178"/>
        <item x="699"/>
        <item x="279"/>
        <item x="13"/>
        <item x="128"/>
        <item x="270"/>
        <item x="30"/>
        <item x="362"/>
        <item x="543"/>
        <item x="192"/>
        <item x="525"/>
        <item x="753"/>
        <item x="378"/>
        <item x="176"/>
        <item x="37"/>
        <item x="298"/>
        <item x="595"/>
        <item x="719"/>
        <item x="861"/>
        <item x="202"/>
        <item x="608"/>
        <item x="14"/>
        <item x="383"/>
        <item x="981"/>
        <item x="498"/>
        <item x="632"/>
        <item x="160"/>
        <item x="209"/>
        <item x="701"/>
        <item x="400"/>
        <item x="190"/>
        <item x="167"/>
        <item x="691"/>
        <item x="993"/>
        <item x="694"/>
        <item x="446"/>
        <item x="985"/>
        <item x="955"/>
        <item x="674"/>
        <item x="571"/>
        <item x="87"/>
        <item x="172"/>
        <item x="598"/>
        <item x="415"/>
        <item x="679"/>
        <item x="9"/>
        <item x="85"/>
        <item x="600"/>
        <item x="532"/>
        <item x="818"/>
        <item x="27"/>
        <item x="200"/>
        <item x="435"/>
        <item x="317"/>
        <item x="760"/>
        <item x="207"/>
        <item x="660"/>
        <item x="596"/>
        <item x="549"/>
        <item x="625"/>
        <item x="8"/>
        <item x="523"/>
        <item x="930"/>
        <item x="852"/>
        <item x="773"/>
        <item x="692"/>
        <item x="284"/>
        <item x="31"/>
        <item x="892"/>
        <item x="909"/>
        <item x="744"/>
        <item x="942"/>
        <item x="143"/>
        <item x="809"/>
        <item x="748"/>
        <item x="292"/>
        <item x="311"/>
        <item x="430"/>
        <item x="407"/>
        <item x="583"/>
        <item x="385"/>
        <item x="931"/>
        <item x="3"/>
        <item x="257"/>
        <item x="546"/>
        <item x="320"/>
        <item x="517"/>
        <item x="51"/>
        <item x="100"/>
        <item x="439"/>
        <item x="201"/>
        <item x="359"/>
        <item x="238"/>
        <item x="725"/>
        <item x="332"/>
        <item x="636"/>
        <item x="226"/>
        <item x="127"/>
        <item x="707"/>
        <item x="287"/>
        <item x="588"/>
        <item x="565"/>
        <item x="401"/>
        <item x="500"/>
        <item x="734"/>
        <item x="218"/>
        <item x="856"/>
        <item x="977"/>
        <item x="68"/>
        <item x="59"/>
        <item x="795"/>
        <item x="910"/>
        <item x="462"/>
        <item x="888"/>
        <item x="141"/>
        <item x="363"/>
        <item x="76"/>
        <item x="683"/>
        <item x="730"/>
        <item x="780"/>
        <item x="431"/>
        <item x="49"/>
        <item x="656"/>
        <item x="971"/>
        <item x="327"/>
        <item x="880"/>
        <item x="948"/>
        <item x="781"/>
        <item x="466"/>
        <item x="850"/>
        <item x="353"/>
        <item t="default"/>
      </items>
    </pivotField>
    <pivotField showAll="0"/>
    <pivotField numFmtId="14" showAll="0">
      <items count="15">
        <item x="0"/>
        <item x="1"/>
        <item x="2"/>
        <item x="3"/>
        <item x="4"/>
        <item x="5"/>
        <item x="6"/>
        <item x="7"/>
        <item x="8"/>
        <item x="9"/>
        <item x="10"/>
        <item x="11"/>
        <item x="12"/>
        <item x="13"/>
        <item t="default"/>
      </items>
    </pivotField>
    <pivotField numFmtId="21" showAll="0"/>
    <pivotField showAll="0"/>
    <pivotField showAll="0"/>
    <pivotField showAll="0"/>
    <pivotField showAll="0"/>
    <pivotField showAll="0"/>
    <pivotField showAll="0"/>
    <pivotField showAll="0"/>
    <pivotField showAll="0">
      <items count="3">
        <item x="1"/>
        <item x="0"/>
        <item t="default"/>
      </items>
    </pivotField>
    <pivotField showAll="0">
      <items count="4">
        <item x="0"/>
        <item x="1"/>
        <item x="2"/>
        <item t="default"/>
      </items>
    </pivotField>
    <pivotField showAll="0"/>
    <pivotField showAll="0" defaultSubtotal="0"/>
    <pivotField showAll="0" defaultSubtotal="0"/>
  </pivotFields>
  <rowItems count="1">
    <i/>
  </rowItems>
  <colItems count="1">
    <i/>
  </colItems>
  <dataFields count="1">
    <dataField name="Count of Customers" fld="0" subtotal="count" baseField="0" baseItem="0"/>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terangan_fix" xr10:uid="{B9782E77-7687-4005-9ED8-2FDF18ABB725}" sourceName="Keterangan_fix">
  <pivotTables>
    <pivotTable tabId="2" name="PivotTable2"/>
    <pivotTable tabId="2" name="PivotTable5"/>
    <pivotTable tabId="2" name="PivotTable1"/>
    <pivotTable tabId="3" name="PivotTable7"/>
  </pivotTables>
  <data>
    <tabular pivotCacheId="185913121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timen2" xr10:uid="{6A42AB6A-9386-4A8B-804F-7315FC2BA827}" sourceName="sentimen2">
  <pivotTables>
    <pivotTable tabId="2" name="PivotTable2"/>
    <pivotTable tabId="2" name="PivotTable5"/>
    <pivotTable tabId="2" name="PivotTable1"/>
    <pivotTable tabId="3" name="PivotTable7"/>
  </pivotTables>
  <data>
    <tabular pivotCacheId="185913121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eterangan_fix" xr10:uid="{AF1040C1-A583-4D36-BCC9-31F1D64B3163}" cache="Slicer_Keterangan_fix" caption="Keterangan_fix" style="SlicerStyleDark6" rowHeight="241300"/>
  <slicer name="sentimen2" xr10:uid="{F0BD0F9A-5290-40A9-9797-1EC7155DCE30}" cache="Slicer_sentimen2" caption="sentimen2"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C42198-FDD0-4253-95CF-F3930E5D1096}" name="Table1" displayName="Table1" ref="A1:L1001" totalsRowShown="0">
  <autoFilter ref="A1:L1001" xr:uid="{87C42198-FDD0-4253-95CF-F3930E5D1096}"/>
  <tableColumns count="12">
    <tableColumn id="1" xr3:uid="{73774F38-DAC4-4A41-8649-2E01AD005B1D}" name="UserName"/>
    <tableColumn id="2" xr3:uid="{B58355F8-298B-449E-8E7B-8F58027F29C7}" name="Score"/>
    <tableColumn id="3" xr3:uid="{14F34960-C726-4190-8909-68658197F462}" name="Date" dataDxfId="4"/>
    <tableColumn id="4" xr3:uid="{EFA6109C-A887-4F25-A94F-7AE9A7B0A796}" name="Time" dataDxfId="3"/>
    <tableColumn id="5" xr3:uid="{1A10B3C9-E99C-4B88-B8D9-82924202E52A}" name="Ulasan"/>
    <tableColumn id="6" xr3:uid="{6441B240-39CA-4547-91BF-E137C3885B9B}" name="Sentimen Widi"/>
    <tableColumn id="7" xr3:uid="{E695B8DE-2A41-4EFE-B0EF-844326E2D698}" name="Sentimen Nanda"/>
    <tableColumn id="8" xr3:uid="{B9BA4E2C-2FF6-45FA-BF4B-2B5C4D1CA142}" name="Sentimen Dra. UMI KOLISOH, M.Pd"/>
    <tableColumn id="9" xr3:uid="{C2555928-1700-4122-A810-E746A1394144}" name="Sentimen"/>
    <tableColumn id="10" xr3:uid="{BBBC9F64-74CA-492D-9029-74673B17DFC3}" name="Keterangan:"/>
    <tableColumn id="11" xr3:uid="{34E8E21D-CD5F-4BB9-83CA-3590B023EC4C}" name="Sentimen2"/>
    <tableColumn id="12" xr3:uid="{77D9DB78-3937-4885-A89A-C39DD4EA07CC}" name="Keterangan_fix"/>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49E084B-BE25-47F9-8421-8B55D058B361}" sourceName="Date">
  <pivotTables>
    <pivotTable tabId="2" name="PivotTable2"/>
    <pivotTable tabId="2" name="PivotTable1"/>
    <pivotTable tabId="2" name="PivotTable5"/>
    <pivotTable tabId="3" name="PivotTable7"/>
  </pivotTables>
  <state minimalRefreshVersion="6" lastRefreshVersion="6" pivotCacheId="1859131212"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C07B40D-3C27-4BA2-80FD-AB4A4080FE7D}" cache="NativeTimeline_Date" caption="Date" level="2" selectionLevel="2" scrollPosition="2021-10-01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5.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5D2A5-324A-43CA-8305-1C1DD4D99738}">
  <dimension ref="A1:L1001"/>
  <sheetViews>
    <sheetView workbookViewId="0">
      <selection activeCell="E12" sqref="E12"/>
    </sheetView>
  </sheetViews>
  <sheetFormatPr defaultRowHeight="15" x14ac:dyDescent="0.25"/>
  <cols>
    <col min="1" max="1" width="15.85546875" customWidth="1"/>
    <col min="3" max="3" width="11.7109375" customWidth="1"/>
    <col min="6" max="6" width="16.42578125" customWidth="1"/>
    <col min="7" max="7" width="17.85546875" customWidth="1"/>
    <col min="8" max="8" width="33.85546875" customWidth="1"/>
    <col min="9" max="9" width="11.7109375" customWidth="1"/>
    <col min="10" max="10" width="13.85546875" customWidth="1"/>
    <col min="11" max="11" width="12.28515625" customWidth="1"/>
    <col min="12" max="12" width="16.5703125" customWidth="1"/>
  </cols>
  <sheetData>
    <row r="1" spans="1:12" x14ac:dyDescent="0.25">
      <c r="A1" t="s">
        <v>0</v>
      </c>
      <c r="B1" t="s">
        <v>1</v>
      </c>
      <c r="C1" t="s">
        <v>2</v>
      </c>
      <c r="D1" t="s">
        <v>3</v>
      </c>
      <c r="E1" t="s">
        <v>4</v>
      </c>
      <c r="F1" t="s">
        <v>5</v>
      </c>
      <c r="G1" t="s">
        <v>6</v>
      </c>
      <c r="H1" t="s">
        <v>7</v>
      </c>
      <c r="I1" t="s">
        <v>8</v>
      </c>
      <c r="J1" t="s">
        <v>9</v>
      </c>
      <c r="K1" t="s">
        <v>2032</v>
      </c>
      <c r="L1" t="s">
        <v>10</v>
      </c>
    </row>
    <row r="2" spans="1:12" x14ac:dyDescent="0.25">
      <c r="A2" t="s">
        <v>11</v>
      </c>
      <c r="B2">
        <v>4</v>
      </c>
      <c r="C2" s="1">
        <v>44603</v>
      </c>
      <c r="D2" s="2">
        <v>0.36249999999999999</v>
      </c>
      <c r="E2" t="s">
        <v>12</v>
      </c>
      <c r="F2" t="s">
        <v>13</v>
      </c>
      <c r="G2" t="s">
        <v>13</v>
      </c>
      <c r="H2" t="s">
        <v>13</v>
      </c>
      <c r="I2" t="s">
        <v>14</v>
      </c>
      <c r="J2" t="s">
        <v>15</v>
      </c>
      <c r="K2" t="s">
        <v>16</v>
      </c>
      <c r="L2" t="s">
        <v>17</v>
      </c>
    </row>
    <row r="3" spans="1:12" x14ac:dyDescent="0.25">
      <c r="A3" t="s">
        <v>18</v>
      </c>
      <c r="B3">
        <v>1</v>
      </c>
      <c r="C3" s="1">
        <v>44603</v>
      </c>
      <c r="D3" s="2">
        <v>0.32847222222222222</v>
      </c>
      <c r="E3" t="s">
        <v>19</v>
      </c>
      <c r="F3" t="s">
        <v>13</v>
      </c>
      <c r="G3" t="s">
        <v>13</v>
      </c>
      <c r="H3" t="s">
        <v>13</v>
      </c>
      <c r="I3" t="s">
        <v>14</v>
      </c>
      <c r="J3" t="s">
        <v>20</v>
      </c>
      <c r="K3" t="s">
        <v>21</v>
      </c>
      <c r="L3" t="s">
        <v>17</v>
      </c>
    </row>
    <row r="4" spans="1:12" x14ac:dyDescent="0.25">
      <c r="A4" t="s">
        <v>22</v>
      </c>
      <c r="B4">
        <v>5</v>
      </c>
      <c r="C4" s="1">
        <v>44603</v>
      </c>
      <c r="D4" s="2">
        <v>0.24305555555555555</v>
      </c>
      <c r="E4" t="s">
        <v>23</v>
      </c>
      <c r="F4" t="s">
        <v>13</v>
      </c>
      <c r="G4" t="s">
        <v>13</v>
      </c>
      <c r="H4" t="s">
        <v>13</v>
      </c>
      <c r="I4" t="s">
        <v>14</v>
      </c>
      <c r="J4" t="s">
        <v>24</v>
      </c>
      <c r="K4" t="s">
        <v>21</v>
      </c>
      <c r="L4" t="s">
        <v>17</v>
      </c>
    </row>
    <row r="5" spans="1:12" x14ac:dyDescent="0.25">
      <c r="A5" t="s">
        <v>25</v>
      </c>
      <c r="B5">
        <v>2</v>
      </c>
      <c r="C5" s="1">
        <v>44603</v>
      </c>
      <c r="D5" s="2">
        <v>0.23124999999999998</v>
      </c>
      <c r="E5" t="s">
        <v>26</v>
      </c>
      <c r="F5" t="s">
        <v>13</v>
      </c>
      <c r="G5" t="s">
        <v>13</v>
      </c>
      <c r="H5" t="s">
        <v>13</v>
      </c>
      <c r="I5" t="s">
        <v>14</v>
      </c>
      <c r="J5" t="s">
        <v>27</v>
      </c>
      <c r="K5" t="s">
        <v>28</v>
      </c>
      <c r="L5" t="s">
        <v>17</v>
      </c>
    </row>
    <row r="6" spans="1:12" x14ac:dyDescent="0.25">
      <c r="A6" t="s">
        <v>29</v>
      </c>
      <c r="B6">
        <v>3</v>
      </c>
      <c r="C6" s="1">
        <v>44603</v>
      </c>
      <c r="D6" s="2">
        <v>0.13194444444444445</v>
      </c>
      <c r="E6" t="s">
        <v>30</v>
      </c>
      <c r="F6" t="s">
        <v>31</v>
      </c>
      <c r="G6" t="s">
        <v>31</v>
      </c>
      <c r="H6" t="s">
        <v>31</v>
      </c>
      <c r="I6" t="s">
        <v>32</v>
      </c>
      <c r="J6" t="s">
        <v>27</v>
      </c>
      <c r="K6" t="s">
        <v>21</v>
      </c>
      <c r="L6" t="s">
        <v>33</v>
      </c>
    </row>
    <row r="7" spans="1:12" x14ac:dyDescent="0.25">
      <c r="A7" t="s">
        <v>34</v>
      </c>
      <c r="B7">
        <v>5</v>
      </c>
      <c r="C7" s="1">
        <v>44603</v>
      </c>
      <c r="D7" s="2">
        <v>0.13194444444444445</v>
      </c>
      <c r="E7" t="s">
        <v>35</v>
      </c>
      <c r="F7" t="s">
        <v>36</v>
      </c>
      <c r="G7" t="s">
        <v>36</v>
      </c>
      <c r="H7" t="s">
        <v>36</v>
      </c>
      <c r="I7" t="s">
        <v>13</v>
      </c>
      <c r="J7" t="s">
        <v>27</v>
      </c>
      <c r="K7" t="s">
        <v>21</v>
      </c>
      <c r="L7" t="s">
        <v>17</v>
      </c>
    </row>
    <row r="8" spans="1:12" x14ac:dyDescent="0.25">
      <c r="A8" t="s">
        <v>37</v>
      </c>
      <c r="B8">
        <v>1</v>
      </c>
      <c r="C8" s="1">
        <v>44603</v>
      </c>
      <c r="D8" s="2">
        <v>7.8472222222222221E-2</v>
      </c>
      <c r="E8" t="s">
        <v>38</v>
      </c>
      <c r="F8" t="s">
        <v>13</v>
      </c>
      <c r="G8" t="s">
        <v>13</v>
      </c>
      <c r="H8" t="s">
        <v>13</v>
      </c>
      <c r="I8" t="s">
        <v>14</v>
      </c>
      <c r="J8" t="s">
        <v>27</v>
      </c>
      <c r="K8" t="s">
        <v>21</v>
      </c>
      <c r="L8" t="s">
        <v>17</v>
      </c>
    </row>
    <row r="9" spans="1:12" x14ac:dyDescent="0.25">
      <c r="A9" t="s">
        <v>39</v>
      </c>
      <c r="B9">
        <v>1</v>
      </c>
      <c r="C9" s="1">
        <v>44603</v>
      </c>
      <c r="D9" s="2">
        <v>4.6527777777777779E-2</v>
      </c>
      <c r="E9" t="s">
        <v>40</v>
      </c>
      <c r="F9" t="s">
        <v>13</v>
      </c>
      <c r="G9" t="s">
        <v>13</v>
      </c>
      <c r="H9" t="s">
        <v>13</v>
      </c>
      <c r="I9" t="s">
        <v>14</v>
      </c>
      <c r="J9" t="s">
        <v>27</v>
      </c>
      <c r="K9" t="s">
        <v>28</v>
      </c>
      <c r="L9" t="s">
        <v>17</v>
      </c>
    </row>
    <row r="10" spans="1:12" x14ac:dyDescent="0.25">
      <c r="A10" t="s">
        <v>41</v>
      </c>
      <c r="B10">
        <v>4</v>
      </c>
      <c r="C10" s="1">
        <v>44603</v>
      </c>
      <c r="D10" s="2">
        <v>0.59236111111111112</v>
      </c>
      <c r="E10" t="s">
        <v>42</v>
      </c>
      <c r="F10" t="s">
        <v>31</v>
      </c>
      <c r="G10" t="s">
        <v>31</v>
      </c>
      <c r="H10" t="s">
        <v>31</v>
      </c>
      <c r="I10" t="s">
        <v>32</v>
      </c>
      <c r="J10" t="s">
        <v>27</v>
      </c>
      <c r="K10" t="s">
        <v>21</v>
      </c>
      <c r="L10" t="s">
        <v>33</v>
      </c>
    </row>
    <row r="11" spans="1:12" x14ac:dyDescent="0.25">
      <c r="A11" t="s">
        <v>43</v>
      </c>
      <c r="B11">
        <v>1</v>
      </c>
      <c r="C11" s="1">
        <v>44603</v>
      </c>
      <c r="D11" s="2">
        <v>0.58888888888888891</v>
      </c>
      <c r="E11" t="s">
        <v>44</v>
      </c>
      <c r="F11" t="s">
        <v>13</v>
      </c>
      <c r="G11" t="s">
        <v>13</v>
      </c>
      <c r="H11" t="s">
        <v>13</v>
      </c>
      <c r="I11" t="s">
        <v>14</v>
      </c>
      <c r="J11" t="s">
        <v>27</v>
      </c>
      <c r="K11" t="s">
        <v>21</v>
      </c>
      <c r="L11" t="s">
        <v>17</v>
      </c>
    </row>
    <row r="12" spans="1:12" x14ac:dyDescent="0.25">
      <c r="A12" t="s">
        <v>45</v>
      </c>
      <c r="B12">
        <v>1</v>
      </c>
      <c r="C12" s="1">
        <v>44603</v>
      </c>
      <c r="D12" s="2">
        <v>0.5756944444444444</v>
      </c>
      <c r="E12" t="s">
        <v>46</v>
      </c>
      <c r="F12" t="s">
        <v>13</v>
      </c>
      <c r="G12" t="s">
        <v>13</v>
      </c>
      <c r="H12" t="s">
        <v>13</v>
      </c>
      <c r="I12" t="s">
        <v>14</v>
      </c>
      <c r="J12" t="s">
        <v>27</v>
      </c>
      <c r="K12" t="s">
        <v>28</v>
      </c>
      <c r="L12" t="s">
        <v>17</v>
      </c>
    </row>
    <row r="13" spans="1:12" x14ac:dyDescent="0.25">
      <c r="A13" t="s">
        <v>47</v>
      </c>
      <c r="B13">
        <v>1</v>
      </c>
      <c r="C13" s="1">
        <v>44603</v>
      </c>
      <c r="D13" s="2">
        <v>0.55069444444444449</v>
      </c>
      <c r="E13" t="s">
        <v>48</v>
      </c>
      <c r="F13" t="s">
        <v>13</v>
      </c>
      <c r="G13" t="s">
        <v>13</v>
      </c>
      <c r="H13" t="s">
        <v>13</v>
      </c>
      <c r="I13" t="s">
        <v>14</v>
      </c>
      <c r="J13" t="s">
        <v>27</v>
      </c>
      <c r="K13" t="s">
        <v>28</v>
      </c>
      <c r="L13" t="s">
        <v>17</v>
      </c>
    </row>
    <row r="14" spans="1:12" x14ac:dyDescent="0.25">
      <c r="A14" t="s">
        <v>49</v>
      </c>
      <c r="B14">
        <v>5</v>
      </c>
      <c r="C14" s="1">
        <v>44603</v>
      </c>
      <c r="D14" s="2">
        <v>0.52708333333333335</v>
      </c>
      <c r="E14" t="s">
        <v>50</v>
      </c>
      <c r="F14" t="s">
        <v>36</v>
      </c>
      <c r="G14" t="s">
        <v>36</v>
      </c>
      <c r="H14" t="s">
        <v>36</v>
      </c>
      <c r="I14" t="s">
        <v>13</v>
      </c>
      <c r="J14" t="s">
        <v>27</v>
      </c>
      <c r="K14" t="s">
        <v>21</v>
      </c>
      <c r="L14" t="s">
        <v>17</v>
      </c>
    </row>
    <row r="15" spans="1:12" x14ac:dyDescent="0.25">
      <c r="A15" t="s">
        <v>51</v>
      </c>
      <c r="B15">
        <v>5</v>
      </c>
      <c r="C15" s="1">
        <v>44603</v>
      </c>
      <c r="D15" s="2">
        <v>0.48472222222222222</v>
      </c>
      <c r="E15" t="s">
        <v>52</v>
      </c>
      <c r="F15" t="s">
        <v>36</v>
      </c>
      <c r="G15" t="s">
        <v>36</v>
      </c>
      <c r="H15" t="s">
        <v>36</v>
      </c>
      <c r="I15" t="s">
        <v>13</v>
      </c>
      <c r="J15" t="s">
        <v>27</v>
      </c>
      <c r="K15" t="s">
        <v>16</v>
      </c>
      <c r="L15" t="s">
        <v>17</v>
      </c>
    </row>
    <row r="16" spans="1:12" x14ac:dyDescent="0.25">
      <c r="A16" t="s">
        <v>53</v>
      </c>
      <c r="B16">
        <v>1</v>
      </c>
      <c r="C16" s="1">
        <v>44603</v>
      </c>
      <c r="D16" s="2">
        <v>0.41805555555555557</v>
      </c>
      <c r="E16" t="s">
        <v>54</v>
      </c>
      <c r="F16" t="s">
        <v>13</v>
      </c>
      <c r="G16" t="s">
        <v>13</v>
      </c>
      <c r="H16" t="s">
        <v>13</v>
      </c>
      <c r="I16" t="s">
        <v>14</v>
      </c>
      <c r="J16" t="s">
        <v>27</v>
      </c>
      <c r="K16" t="s">
        <v>21</v>
      </c>
      <c r="L16" t="s">
        <v>17</v>
      </c>
    </row>
    <row r="17" spans="1:12" x14ac:dyDescent="0.25">
      <c r="A17" t="s">
        <v>55</v>
      </c>
      <c r="B17">
        <v>2</v>
      </c>
      <c r="C17" s="1">
        <v>44603</v>
      </c>
      <c r="D17" s="2">
        <v>1.3888888888888888E-2</v>
      </c>
      <c r="E17" t="s">
        <v>56</v>
      </c>
      <c r="F17" t="s">
        <v>31</v>
      </c>
      <c r="G17" t="s">
        <v>31</v>
      </c>
      <c r="H17" t="s">
        <v>31</v>
      </c>
      <c r="I17" t="s">
        <v>32</v>
      </c>
      <c r="J17" t="s">
        <v>27</v>
      </c>
      <c r="K17" t="s">
        <v>21</v>
      </c>
      <c r="L17" t="s">
        <v>33</v>
      </c>
    </row>
    <row r="18" spans="1:12" x14ac:dyDescent="0.25">
      <c r="A18" t="s">
        <v>57</v>
      </c>
      <c r="B18">
        <v>3</v>
      </c>
      <c r="C18" s="1">
        <v>44603</v>
      </c>
      <c r="D18" s="2">
        <v>9.0277777777777787E-3</v>
      </c>
      <c r="E18" t="s">
        <v>58</v>
      </c>
      <c r="F18" t="s">
        <v>31</v>
      </c>
      <c r="G18" t="s">
        <v>31</v>
      </c>
      <c r="H18" t="s">
        <v>31</v>
      </c>
      <c r="I18" t="s">
        <v>32</v>
      </c>
      <c r="J18" t="s">
        <v>27</v>
      </c>
      <c r="K18" t="s">
        <v>21</v>
      </c>
      <c r="L18" t="s">
        <v>33</v>
      </c>
    </row>
    <row r="19" spans="1:12" x14ac:dyDescent="0.25">
      <c r="A19" t="s">
        <v>59</v>
      </c>
      <c r="B19">
        <v>2</v>
      </c>
      <c r="C19" s="1">
        <v>44602</v>
      </c>
      <c r="D19" s="2">
        <v>0.2298611111111111</v>
      </c>
      <c r="E19" t="s">
        <v>60</v>
      </c>
      <c r="F19" t="s">
        <v>27</v>
      </c>
      <c r="G19" t="s">
        <v>27</v>
      </c>
      <c r="H19" t="s">
        <v>27</v>
      </c>
      <c r="I19" t="s">
        <v>27</v>
      </c>
      <c r="J19" t="s">
        <v>27</v>
      </c>
      <c r="K19" t="s">
        <v>21</v>
      </c>
      <c r="L19" t="s">
        <v>33</v>
      </c>
    </row>
    <row r="20" spans="1:12" x14ac:dyDescent="0.25">
      <c r="A20" t="s">
        <v>61</v>
      </c>
      <c r="B20">
        <v>5</v>
      </c>
      <c r="C20" s="1">
        <v>44602</v>
      </c>
      <c r="D20" s="2">
        <v>0.18055555555555555</v>
      </c>
      <c r="E20" t="s">
        <v>62</v>
      </c>
      <c r="F20" t="s">
        <v>36</v>
      </c>
      <c r="G20" t="s">
        <v>36</v>
      </c>
      <c r="H20" t="s">
        <v>36</v>
      </c>
      <c r="I20" t="s">
        <v>13</v>
      </c>
      <c r="J20" t="s">
        <v>27</v>
      </c>
      <c r="K20" t="s">
        <v>21</v>
      </c>
      <c r="L20" t="s">
        <v>17</v>
      </c>
    </row>
    <row r="21" spans="1:12" x14ac:dyDescent="0.25">
      <c r="A21" t="s">
        <v>63</v>
      </c>
      <c r="B21">
        <v>1</v>
      </c>
      <c r="C21" s="1">
        <v>44602</v>
      </c>
      <c r="D21" s="2">
        <v>0.16874999999999998</v>
      </c>
      <c r="E21" t="s">
        <v>64</v>
      </c>
      <c r="F21" t="s">
        <v>13</v>
      </c>
      <c r="G21" t="s">
        <v>13</v>
      </c>
      <c r="H21" t="s">
        <v>13</v>
      </c>
      <c r="I21" t="s">
        <v>14</v>
      </c>
      <c r="J21" t="s">
        <v>27</v>
      </c>
      <c r="K21" t="s">
        <v>21</v>
      </c>
      <c r="L21" t="s">
        <v>17</v>
      </c>
    </row>
    <row r="22" spans="1:12" x14ac:dyDescent="0.25">
      <c r="A22" t="s">
        <v>65</v>
      </c>
      <c r="B22">
        <v>1</v>
      </c>
      <c r="C22" s="1">
        <v>44602</v>
      </c>
      <c r="D22" s="2">
        <v>0.59946759259259264</v>
      </c>
      <c r="E22" t="s">
        <v>66</v>
      </c>
      <c r="F22" t="s">
        <v>13</v>
      </c>
      <c r="G22" t="s">
        <v>13</v>
      </c>
      <c r="H22" t="s">
        <v>13</v>
      </c>
      <c r="I22" t="s">
        <v>14</v>
      </c>
      <c r="J22" t="s">
        <v>27</v>
      </c>
      <c r="K22" t="s">
        <v>21</v>
      </c>
      <c r="L22" t="s">
        <v>17</v>
      </c>
    </row>
    <row r="23" spans="1:12" x14ac:dyDescent="0.25">
      <c r="A23" t="s">
        <v>67</v>
      </c>
      <c r="B23">
        <v>2</v>
      </c>
      <c r="C23" s="1">
        <v>44602</v>
      </c>
      <c r="D23" s="2">
        <v>0.93333333333333324</v>
      </c>
      <c r="E23" t="s">
        <v>68</v>
      </c>
      <c r="F23" t="s">
        <v>13</v>
      </c>
      <c r="G23" t="s">
        <v>13</v>
      </c>
      <c r="H23" t="s">
        <v>13</v>
      </c>
      <c r="I23" t="s">
        <v>14</v>
      </c>
      <c r="J23" t="s">
        <v>27</v>
      </c>
      <c r="K23" t="s">
        <v>21</v>
      </c>
      <c r="L23" t="s">
        <v>17</v>
      </c>
    </row>
    <row r="24" spans="1:12" x14ac:dyDescent="0.25">
      <c r="A24" t="s">
        <v>69</v>
      </c>
      <c r="B24">
        <v>1</v>
      </c>
      <c r="C24" s="1">
        <v>44602</v>
      </c>
      <c r="D24" s="2">
        <v>0.8652777777777777</v>
      </c>
      <c r="E24" t="s">
        <v>70</v>
      </c>
      <c r="F24" t="s">
        <v>31</v>
      </c>
      <c r="G24" t="s">
        <v>31</v>
      </c>
      <c r="H24" t="s">
        <v>31</v>
      </c>
      <c r="I24" t="s">
        <v>32</v>
      </c>
      <c r="J24" t="s">
        <v>27</v>
      </c>
      <c r="K24" t="s">
        <v>21</v>
      </c>
      <c r="L24" t="s">
        <v>33</v>
      </c>
    </row>
    <row r="25" spans="1:12" x14ac:dyDescent="0.25">
      <c r="A25" t="s">
        <v>71</v>
      </c>
      <c r="B25">
        <v>3</v>
      </c>
      <c r="C25" s="1">
        <v>44602</v>
      </c>
      <c r="D25" s="2">
        <v>6.5972222222222224E-2</v>
      </c>
      <c r="E25" t="s">
        <v>72</v>
      </c>
      <c r="F25" t="s">
        <v>13</v>
      </c>
      <c r="G25" t="s">
        <v>13</v>
      </c>
      <c r="H25" t="s">
        <v>13</v>
      </c>
      <c r="I25" t="s">
        <v>14</v>
      </c>
      <c r="J25" t="s">
        <v>27</v>
      </c>
      <c r="K25" t="s">
        <v>21</v>
      </c>
      <c r="L25" t="s">
        <v>17</v>
      </c>
    </row>
    <row r="26" spans="1:12" x14ac:dyDescent="0.25">
      <c r="A26" t="s">
        <v>73</v>
      </c>
      <c r="B26">
        <v>1</v>
      </c>
      <c r="C26" s="1">
        <v>44602</v>
      </c>
      <c r="D26" s="2">
        <v>5.486111111111111E-2</v>
      </c>
      <c r="E26" t="s">
        <v>74</v>
      </c>
      <c r="F26" t="s">
        <v>13</v>
      </c>
      <c r="G26" t="s">
        <v>13</v>
      </c>
      <c r="H26" t="s">
        <v>13</v>
      </c>
      <c r="I26" t="s">
        <v>14</v>
      </c>
      <c r="J26" t="s">
        <v>27</v>
      </c>
      <c r="K26" t="s">
        <v>21</v>
      </c>
      <c r="L26" t="s">
        <v>17</v>
      </c>
    </row>
    <row r="27" spans="1:12" x14ac:dyDescent="0.25">
      <c r="A27" t="s">
        <v>75</v>
      </c>
      <c r="B27">
        <v>5</v>
      </c>
      <c r="C27" s="1">
        <v>44602</v>
      </c>
      <c r="D27" s="2">
        <v>5.347222222222222E-2</v>
      </c>
      <c r="E27" t="s">
        <v>76</v>
      </c>
      <c r="F27" t="s">
        <v>36</v>
      </c>
      <c r="G27" t="s">
        <v>36</v>
      </c>
      <c r="H27" t="s">
        <v>36</v>
      </c>
      <c r="I27" t="s">
        <v>13</v>
      </c>
      <c r="J27" t="s">
        <v>27</v>
      </c>
      <c r="K27" t="s">
        <v>21</v>
      </c>
      <c r="L27" t="s">
        <v>17</v>
      </c>
    </row>
    <row r="28" spans="1:12" x14ac:dyDescent="0.25">
      <c r="A28" t="s">
        <v>77</v>
      </c>
      <c r="B28">
        <v>5</v>
      </c>
      <c r="C28" s="1">
        <v>44602</v>
      </c>
      <c r="D28" s="2">
        <v>5.2777777777777778E-2</v>
      </c>
      <c r="E28" t="s">
        <v>78</v>
      </c>
      <c r="F28" t="s">
        <v>36</v>
      </c>
      <c r="G28" t="s">
        <v>36</v>
      </c>
      <c r="H28" t="s">
        <v>36</v>
      </c>
      <c r="I28" t="s">
        <v>13</v>
      </c>
      <c r="J28" t="s">
        <v>27</v>
      </c>
      <c r="K28" t="s">
        <v>28</v>
      </c>
      <c r="L28" t="s">
        <v>17</v>
      </c>
    </row>
    <row r="29" spans="1:12" x14ac:dyDescent="0.25">
      <c r="A29" t="s">
        <v>79</v>
      </c>
      <c r="B29">
        <v>1</v>
      </c>
      <c r="C29" s="1">
        <v>44602</v>
      </c>
      <c r="D29" s="2">
        <v>4.4444444444444446E-2</v>
      </c>
      <c r="E29" t="s">
        <v>80</v>
      </c>
      <c r="F29" t="s">
        <v>13</v>
      </c>
      <c r="G29" t="s">
        <v>13</v>
      </c>
      <c r="H29" t="s">
        <v>13</v>
      </c>
      <c r="I29" t="s">
        <v>14</v>
      </c>
      <c r="J29" t="s">
        <v>27</v>
      </c>
      <c r="K29" t="s">
        <v>21</v>
      </c>
      <c r="L29" t="s">
        <v>17</v>
      </c>
    </row>
    <row r="30" spans="1:12" x14ac:dyDescent="0.25">
      <c r="A30" t="s">
        <v>81</v>
      </c>
      <c r="B30">
        <v>5</v>
      </c>
      <c r="C30" s="1">
        <v>44602</v>
      </c>
      <c r="D30" s="2">
        <v>0.82430555555555562</v>
      </c>
      <c r="E30" t="s">
        <v>82</v>
      </c>
      <c r="F30" t="s">
        <v>31</v>
      </c>
      <c r="G30" t="s">
        <v>31</v>
      </c>
      <c r="H30" t="s">
        <v>31</v>
      </c>
      <c r="I30" t="s">
        <v>32</v>
      </c>
      <c r="J30" t="s">
        <v>27</v>
      </c>
      <c r="K30" t="s">
        <v>28</v>
      </c>
      <c r="L30" t="s">
        <v>33</v>
      </c>
    </row>
    <row r="31" spans="1:12" x14ac:dyDescent="0.25">
      <c r="A31" t="s">
        <v>83</v>
      </c>
      <c r="B31">
        <v>5</v>
      </c>
      <c r="C31" s="1">
        <v>44602</v>
      </c>
      <c r="D31" s="2">
        <v>0.73263888888888884</v>
      </c>
      <c r="E31" t="s">
        <v>84</v>
      </c>
      <c r="F31" t="s">
        <v>13</v>
      </c>
      <c r="G31" t="s">
        <v>13</v>
      </c>
      <c r="H31" t="s">
        <v>13</v>
      </c>
      <c r="I31" t="s">
        <v>14</v>
      </c>
      <c r="J31" t="s">
        <v>27</v>
      </c>
      <c r="K31" t="s">
        <v>21</v>
      </c>
      <c r="L31" t="s">
        <v>17</v>
      </c>
    </row>
    <row r="32" spans="1:12" x14ac:dyDescent="0.25">
      <c r="A32" t="s">
        <v>85</v>
      </c>
      <c r="B32">
        <v>1</v>
      </c>
      <c r="C32" s="1">
        <v>44602</v>
      </c>
      <c r="D32" s="2">
        <v>0.66527777777777775</v>
      </c>
      <c r="E32" t="s">
        <v>86</v>
      </c>
      <c r="F32" t="s">
        <v>13</v>
      </c>
      <c r="G32" t="s">
        <v>13</v>
      </c>
      <c r="H32" t="s">
        <v>13</v>
      </c>
      <c r="I32" t="s">
        <v>14</v>
      </c>
      <c r="J32" t="s">
        <v>27</v>
      </c>
      <c r="K32" t="s">
        <v>21</v>
      </c>
      <c r="L32" t="s">
        <v>17</v>
      </c>
    </row>
    <row r="33" spans="1:12" x14ac:dyDescent="0.25">
      <c r="A33" t="s">
        <v>87</v>
      </c>
      <c r="B33">
        <v>1</v>
      </c>
      <c r="C33" s="1">
        <v>44602</v>
      </c>
      <c r="D33" s="2">
        <v>0.65694444444444444</v>
      </c>
      <c r="E33" t="s">
        <v>88</v>
      </c>
      <c r="F33" t="s">
        <v>13</v>
      </c>
      <c r="G33" t="s">
        <v>13</v>
      </c>
      <c r="H33" t="s">
        <v>13</v>
      </c>
      <c r="I33" t="s">
        <v>14</v>
      </c>
      <c r="J33" t="s">
        <v>27</v>
      </c>
      <c r="K33" t="s">
        <v>21</v>
      </c>
      <c r="L33" t="s">
        <v>17</v>
      </c>
    </row>
    <row r="34" spans="1:12" x14ac:dyDescent="0.25">
      <c r="A34" t="s">
        <v>89</v>
      </c>
      <c r="B34">
        <v>5</v>
      </c>
      <c r="C34" s="1">
        <v>44602</v>
      </c>
      <c r="D34" s="2">
        <v>0.65694444444444444</v>
      </c>
      <c r="E34" t="s">
        <v>90</v>
      </c>
      <c r="F34" t="s">
        <v>36</v>
      </c>
      <c r="G34" t="s">
        <v>36</v>
      </c>
      <c r="H34" t="s">
        <v>36</v>
      </c>
      <c r="I34" t="s">
        <v>13</v>
      </c>
      <c r="J34" t="s">
        <v>27</v>
      </c>
      <c r="K34" t="s">
        <v>21</v>
      </c>
      <c r="L34" t="s">
        <v>17</v>
      </c>
    </row>
    <row r="35" spans="1:12" x14ac:dyDescent="0.25">
      <c r="A35" t="s">
        <v>91</v>
      </c>
      <c r="B35">
        <v>1</v>
      </c>
      <c r="C35" s="1">
        <v>44602</v>
      </c>
      <c r="D35" s="2">
        <v>0.65277777777777779</v>
      </c>
      <c r="E35" t="s">
        <v>92</v>
      </c>
      <c r="F35" t="s">
        <v>13</v>
      </c>
      <c r="G35" t="s">
        <v>13</v>
      </c>
      <c r="H35" t="s">
        <v>13</v>
      </c>
      <c r="I35" t="s">
        <v>14</v>
      </c>
      <c r="J35" t="s">
        <v>27</v>
      </c>
      <c r="K35" t="s">
        <v>21</v>
      </c>
      <c r="L35" t="s">
        <v>17</v>
      </c>
    </row>
    <row r="36" spans="1:12" x14ac:dyDescent="0.25">
      <c r="A36" t="s">
        <v>93</v>
      </c>
      <c r="B36">
        <v>1</v>
      </c>
      <c r="C36" s="1">
        <v>44602</v>
      </c>
      <c r="D36" s="2">
        <v>0.60138888888888886</v>
      </c>
      <c r="E36" t="s">
        <v>94</v>
      </c>
      <c r="F36" t="s">
        <v>13</v>
      </c>
      <c r="G36" t="s">
        <v>13</v>
      </c>
      <c r="H36" t="s">
        <v>13</v>
      </c>
      <c r="I36" t="s">
        <v>14</v>
      </c>
      <c r="J36" t="s">
        <v>27</v>
      </c>
      <c r="K36" t="s">
        <v>21</v>
      </c>
      <c r="L36" t="s">
        <v>17</v>
      </c>
    </row>
    <row r="37" spans="1:12" x14ac:dyDescent="0.25">
      <c r="A37" t="s">
        <v>95</v>
      </c>
      <c r="B37">
        <v>1</v>
      </c>
      <c r="C37" s="1">
        <v>44602</v>
      </c>
      <c r="D37" s="2">
        <v>0.59305555555555556</v>
      </c>
      <c r="E37" t="s">
        <v>96</v>
      </c>
      <c r="F37" t="s">
        <v>13</v>
      </c>
      <c r="G37" t="s">
        <v>13</v>
      </c>
      <c r="H37" t="s">
        <v>13</v>
      </c>
      <c r="I37" t="s">
        <v>14</v>
      </c>
      <c r="J37" t="s">
        <v>27</v>
      </c>
      <c r="K37" t="s">
        <v>21</v>
      </c>
      <c r="L37" t="s">
        <v>17</v>
      </c>
    </row>
    <row r="38" spans="1:12" x14ac:dyDescent="0.25">
      <c r="A38" t="s">
        <v>97</v>
      </c>
      <c r="B38">
        <v>1</v>
      </c>
      <c r="C38" s="1">
        <v>44602</v>
      </c>
      <c r="D38" s="2">
        <v>0.58124999999999993</v>
      </c>
      <c r="E38" t="s">
        <v>98</v>
      </c>
      <c r="F38" t="s">
        <v>13</v>
      </c>
      <c r="G38" t="s">
        <v>13</v>
      </c>
      <c r="H38" t="s">
        <v>13</v>
      </c>
      <c r="I38" t="s">
        <v>14</v>
      </c>
      <c r="J38" t="s">
        <v>27</v>
      </c>
      <c r="K38" t="s">
        <v>21</v>
      </c>
      <c r="L38" t="s">
        <v>17</v>
      </c>
    </row>
    <row r="39" spans="1:12" x14ac:dyDescent="0.25">
      <c r="A39" t="s">
        <v>99</v>
      </c>
      <c r="B39">
        <v>2</v>
      </c>
      <c r="C39" s="1">
        <v>44602</v>
      </c>
      <c r="D39" s="2">
        <v>0.56597222222222221</v>
      </c>
      <c r="E39" t="s">
        <v>100</v>
      </c>
      <c r="F39" t="s">
        <v>13</v>
      </c>
      <c r="G39" t="s">
        <v>13</v>
      </c>
      <c r="H39" t="s">
        <v>13</v>
      </c>
      <c r="I39" t="s">
        <v>14</v>
      </c>
      <c r="J39" t="s">
        <v>27</v>
      </c>
      <c r="K39" t="s">
        <v>21</v>
      </c>
      <c r="L39" t="s">
        <v>17</v>
      </c>
    </row>
    <row r="40" spans="1:12" x14ac:dyDescent="0.25">
      <c r="A40" t="s">
        <v>101</v>
      </c>
      <c r="B40">
        <v>1</v>
      </c>
      <c r="C40" s="1">
        <v>44602</v>
      </c>
      <c r="D40" s="2">
        <v>0.55902777777777779</v>
      </c>
      <c r="E40" t="s">
        <v>102</v>
      </c>
      <c r="F40" t="s">
        <v>31</v>
      </c>
      <c r="G40" t="s">
        <v>31</v>
      </c>
      <c r="H40" t="s">
        <v>31</v>
      </c>
      <c r="I40" t="s">
        <v>32</v>
      </c>
      <c r="J40" t="s">
        <v>27</v>
      </c>
      <c r="K40" t="s">
        <v>21</v>
      </c>
      <c r="L40" t="s">
        <v>33</v>
      </c>
    </row>
    <row r="41" spans="1:12" x14ac:dyDescent="0.25">
      <c r="A41" t="s">
        <v>103</v>
      </c>
      <c r="B41">
        <v>4</v>
      </c>
      <c r="C41" s="1">
        <v>44602</v>
      </c>
      <c r="D41" s="2">
        <v>0.55486111111111114</v>
      </c>
      <c r="E41" t="s">
        <v>104</v>
      </c>
      <c r="F41" t="s">
        <v>31</v>
      </c>
      <c r="G41" t="s">
        <v>31</v>
      </c>
      <c r="H41" t="s">
        <v>31</v>
      </c>
      <c r="I41" t="s">
        <v>32</v>
      </c>
      <c r="J41" t="s">
        <v>27</v>
      </c>
      <c r="K41" t="s">
        <v>21</v>
      </c>
      <c r="L41" t="s">
        <v>33</v>
      </c>
    </row>
    <row r="42" spans="1:12" x14ac:dyDescent="0.25">
      <c r="A42" t="s">
        <v>105</v>
      </c>
      <c r="B42">
        <v>1</v>
      </c>
      <c r="C42" s="1">
        <v>44602</v>
      </c>
      <c r="D42" s="2">
        <v>0.52986111111111112</v>
      </c>
      <c r="E42" t="s">
        <v>106</v>
      </c>
      <c r="F42" t="s">
        <v>13</v>
      </c>
      <c r="G42" t="s">
        <v>13</v>
      </c>
      <c r="H42" t="s">
        <v>13</v>
      </c>
      <c r="I42" t="s">
        <v>14</v>
      </c>
      <c r="J42" t="s">
        <v>27</v>
      </c>
      <c r="K42" t="s">
        <v>21</v>
      </c>
      <c r="L42" t="s">
        <v>17</v>
      </c>
    </row>
    <row r="43" spans="1:12" x14ac:dyDescent="0.25">
      <c r="A43" t="s">
        <v>107</v>
      </c>
      <c r="B43">
        <v>1</v>
      </c>
      <c r="C43" s="1">
        <v>44602</v>
      </c>
      <c r="D43" s="2">
        <v>0.52361111111111114</v>
      </c>
      <c r="E43" t="s">
        <v>108</v>
      </c>
      <c r="F43" t="s">
        <v>13</v>
      </c>
      <c r="G43" t="s">
        <v>13</v>
      </c>
      <c r="H43" t="s">
        <v>13</v>
      </c>
      <c r="I43" t="s">
        <v>14</v>
      </c>
      <c r="J43" t="s">
        <v>27</v>
      </c>
      <c r="K43" t="s">
        <v>21</v>
      </c>
      <c r="L43" t="s">
        <v>17</v>
      </c>
    </row>
    <row r="44" spans="1:12" x14ac:dyDescent="0.25">
      <c r="A44" t="s">
        <v>109</v>
      </c>
      <c r="B44">
        <v>3</v>
      </c>
      <c r="C44" s="1">
        <v>44602</v>
      </c>
      <c r="D44" s="2">
        <v>0.4861111111111111</v>
      </c>
      <c r="E44" t="s">
        <v>110</v>
      </c>
      <c r="F44" t="s">
        <v>13</v>
      </c>
      <c r="G44" t="s">
        <v>13</v>
      </c>
      <c r="H44" t="s">
        <v>13</v>
      </c>
      <c r="I44" t="s">
        <v>14</v>
      </c>
      <c r="J44" t="s">
        <v>27</v>
      </c>
      <c r="K44" t="s">
        <v>28</v>
      </c>
      <c r="L44" t="s">
        <v>17</v>
      </c>
    </row>
    <row r="45" spans="1:12" x14ac:dyDescent="0.25">
      <c r="A45" t="s">
        <v>111</v>
      </c>
      <c r="B45">
        <v>1</v>
      </c>
      <c r="C45" s="1">
        <v>44602</v>
      </c>
      <c r="D45" s="2">
        <v>0.48402777777777778</v>
      </c>
      <c r="E45" t="s">
        <v>112</v>
      </c>
      <c r="F45" t="s">
        <v>31</v>
      </c>
      <c r="G45" t="s">
        <v>31</v>
      </c>
      <c r="H45" t="s">
        <v>31</v>
      </c>
      <c r="I45" t="s">
        <v>32</v>
      </c>
      <c r="J45" t="s">
        <v>27</v>
      </c>
      <c r="K45" t="s">
        <v>21</v>
      </c>
      <c r="L45" t="s">
        <v>33</v>
      </c>
    </row>
    <row r="46" spans="1:12" x14ac:dyDescent="0.25">
      <c r="A46" t="s">
        <v>113</v>
      </c>
      <c r="B46">
        <v>5</v>
      </c>
      <c r="C46" s="1">
        <v>44602</v>
      </c>
      <c r="D46" s="2">
        <v>0.48333333333333334</v>
      </c>
      <c r="E46" t="s">
        <v>114</v>
      </c>
      <c r="F46" t="s">
        <v>36</v>
      </c>
      <c r="G46" t="s">
        <v>36</v>
      </c>
      <c r="H46" t="s">
        <v>36</v>
      </c>
      <c r="I46" t="s">
        <v>13</v>
      </c>
      <c r="J46" t="s">
        <v>27</v>
      </c>
      <c r="K46" t="s">
        <v>21</v>
      </c>
      <c r="L46" t="s">
        <v>17</v>
      </c>
    </row>
    <row r="47" spans="1:12" x14ac:dyDescent="0.25">
      <c r="A47" t="s">
        <v>115</v>
      </c>
      <c r="B47">
        <v>1</v>
      </c>
      <c r="C47" s="1">
        <v>44602</v>
      </c>
      <c r="D47" s="2">
        <v>0.46736111111111112</v>
      </c>
      <c r="E47" t="s">
        <v>116</v>
      </c>
      <c r="F47" t="s">
        <v>31</v>
      </c>
      <c r="G47" t="s">
        <v>31</v>
      </c>
      <c r="H47" t="s">
        <v>31</v>
      </c>
      <c r="I47" t="s">
        <v>32</v>
      </c>
      <c r="J47" t="s">
        <v>27</v>
      </c>
      <c r="K47" t="s">
        <v>21</v>
      </c>
      <c r="L47" t="s">
        <v>33</v>
      </c>
    </row>
    <row r="48" spans="1:12" x14ac:dyDescent="0.25">
      <c r="A48" t="s">
        <v>117</v>
      </c>
      <c r="B48">
        <v>3</v>
      </c>
      <c r="C48" s="1">
        <v>44602</v>
      </c>
      <c r="D48" s="2">
        <v>0.45902777777777781</v>
      </c>
      <c r="E48" t="s">
        <v>118</v>
      </c>
      <c r="F48" t="s">
        <v>36</v>
      </c>
      <c r="G48" t="s">
        <v>36</v>
      </c>
      <c r="H48" t="s">
        <v>36</v>
      </c>
      <c r="I48" t="s">
        <v>13</v>
      </c>
      <c r="J48" t="s">
        <v>27</v>
      </c>
      <c r="K48" t="s">
        <v>21</v>
      </c>
      <c r="L48" t="s">
        <v>17</v>
      </c>
    </row>
    <row r="49" spans="1:12" x14ac:dyDescent="0.25">
      <c r="A49" t="s">
        <v>119</v>
      </c>
      <c r="B49">
        <v>4</v>
      </c>
      <c r="C49" s="1">
        <v>44602</v>
      </c>
      <c r="D49" s="2">
        <v>0.45694444444444443</v>
      </c>
      <c r="E49" t="s">
        <v>120</v>
      </c>
      <c r="F49" t="s">
        <v>31</v>
      </c>
      <c r="G49" t="s">
        <v>31</v>
      </c>
      <c r="H49" t="s">
        <v>31</v>
      </c>
      <c r="I49" t="s">
        <v>32</v>
      </c>
      <c r="J49" t="s">
        <v>27</v>
      </c>
      <c r="K49" t="s">
        <v>21</v>
      </c>
      <c r="L49" t="s">
        <v>33</v>
      </c>
    </row>
    <row r="50" spans="1:12" x14ac:dyDescent="0.25">
      <c r="A50" t="s">
        <v>121</v>
      </c>
      <c r="B50">
        <v>1</v>
      </c>
      <c r="C50" s="1">
        <v>44602</v>
      </c>
      <c r="D50" s="2">
        <v>3.9583333333333331E-2</v>
      </c>
      <c r="E50" t="s">
        <v>122</v>
      </c>
      <c r="F50" t="s">
        <v>13</v>
      </c>
      <c r="G50" t="s">
        <v>13</v>
      </c>
      <c r="H50" t="s">
        <v>13</v>
      </c>
      <c r="I50" t="s">
        <v>14</v>
      </c>
      <c r="J50" t="s">
        <v>27</v>
      </c>
      <c r="K50" t="s">
        <v>21</v>
      </c>
      <c r="L50" t="s">
        <v>17</v>
      </c>
    </row>
    <row r="51" spans="1:12" x14ac:dyDescent="0.25">
      <c r="A51" t="s">
        <v>123</v>
      </c>
      <c r="B51">
        <v>1</v>
      </c>
      <c r="C51" s="1">
        <v>44602</v>
      </c>
      <c r="D51" s="2">
        <v>1.8055555555555557E-2</v>
      </c>
      <c r="E51" t="s">
        <v>124</v>
      </c>
      <c r="F51" t="s">
        <v>13</v>
      </c>
      <c r="G51" t="s">
        <v>13</v>
      </c>
      <c r="H51" t="s">
        <v>13</v>
      </c>
      <c r="I51" t="s">
        <v>14</v>
      </c>
      <c r="J51" t="s">
        <v>27</v>
      </c>
      <c r="K51" t="s">
        <v>21</v>
      </c>
      <c r="L51" t="s">
        <v>17</v>
      </c>
    </row>
    <row r="52" spans="1:12" x14ac:dyDescent="0.25">
      <c r="A52" t="s">
        <v>125</v>
      </c>
      <c r="B52">
        <v>4</v>
      </c>
      <c r="C52" s="1">
        <v>44602</v>
      </c>
      <c r="D52" s="2">
        <v>1.0416666666666666E-2</v>
      </c>
      <c r="E52" t="s">
        <v>126</v>
      </c>
      <c r="F52" t="s">
        <v>31</v>
      </c>
      <c r="G52" t="s">
        <v>31</v>
      </c>
      <c r="H52" t="s">
        <v>31</v>
      </c>
      <c r="I52" t="s">
        <v>32</v>
      </c>
      <c r="J52" t="s">
        <v>27</v>
      </c>
      <c r="K52" t="s">
        <v>21</v>
      </c>
      <c r="L52" t="s">
        <v>33</v>
      </c>
    </row>
    <row r="53" spans="1:12" x14ac:dyDescent="0.25">
      <c r="A53" t="s">
        <v>127</v>
      </c>
      <c r="B53">
        <v>5</v>
      </c>
      <c r="C53" s="1">
        <v>44602</v>
      </c>
      <c r="D53" s="2">
        <v>5.5555555555555558E-3</v>
      </c>
      <c r="E53" t="s">
        <v>128</v>
      </c>
      <c r="F53" t="s">
        <v>36</v>
      </c>
      <c r="G53" t="s">
        <v>36</v>
      </c>
      <c r="H53" t="s">
        <v>36</v>
      </c>
      <c r="I53" t="s">
        <v>13</v>
      </c>
      <c r="J53" t="s">
        <v>27</v>
      </c>
      <c r="K53" t="s">
        <v>21</v>
      </c>
      <c r="L53" t="s">
        <v>17</v>
      </c>
    </row>
    <row r="54" spans="1:12" x14ac:dyDescent="0.25">
      <c r="A54" t="s">
        <v>129</v>
      </c>
      <c r="B54">
        <v>1</v>
      </c>
      <c r="C54" s="1">
        <v>44601</v>
      </c>
      <c r="D54" s="2">
        <v>0.3444444444444445</v>
      </c>
      <c r="E54" t="s">
        <v>130</v>
      </c>
      <c r="F54" t="s">
        <v>13</v>
      </c>
      <c r="G54" t="s">
        <v>13</v>
      </c>
      <c r="H54" t="s">
        <v>13</v>
      </c>
      <c r="I54" t="s">
        <v>14</v>
      </c>
      <c r="J54" t="s">
        <v>27</v>
      </c>
      <c r="K54" t="s">
        <v>21</v>
      </c>
      <c r="L54" t="s">
        <v>17</v>
      </c>
    </row>
    <row r="55" spans="1:12" x14ac:dyDescent="0.25">
      <c r="A55" t="s">
        <v>131</v>
      </c>
      <c r="B55">
        <v>5</v>
      </c>
      <c r="C55" s="1">
        <v>44601</v>
      </c>
      <c r="D55" s="2">
        <v>0.33819444444444446</v>
      </c>
      <c r="E55" t="s">
        <v>132</v>
      </c>
      <c r="F55" t="s">
        <v>31</v>
      </c>
      <c r="G55" t="s">
        <v>31</v>
      </c>
      <c r="H55" t="s">
        <v>31</v>
      </c>
      <c r="I55" t="s">
        <v>32</v>
      </c>
      <c r="J55" t="s">
        <v>27</v>
      </c>
      <c r="K55" t="s">
        <v>21</v>
      </c>
      <c r="L55" t="s">
        <v>33</v>
      </c>
    </row>
    <row r="56" spans="1:12" x14ac:dyDescent="0.25">
      <c r="A56" t="s">
        <v>133</v>
      </c>
      <c r="B56">
        <v>5</v>
      </c>
      <c r="C56" s="1">
        <v>44601</v>
      </c>
      <c r="D56" s="2">
        <v>0.32569444444444445</v>
      </c>
      <c r="E56" t="s">
        <v>134</v>
      </c>
      <c r="F56" t="s">
        <v>36</v>
      </c>
      <c r="G56" t="s">
        <v>36</v>
      </c>
      <c r="H56" t="s">
        <v>36</v>
      </c>
      <c r="I56" t="s">
        <v>13</v>
      </c>
      <c r="J56" t="s">
        <v>27</v>
      </c>
      <c r="K56" t="s">
        <v>21</v>
      </c>
      <c r="L56" t="s">
        <v>17</v>
      </c>
    </row>
    <row r="57" spans="1:12" x14ac:dyDescent="0.25">
      <c r="A57" t="s">
        <v>135</v>
      </c>
      <c r="B57">
        <v>1</v>
      </c>
      <c r="C57" s="1">
        <v>44602</v>
      </c>
      <c r="D57" s="2">
        <v>0.79766203703703698</v>
      </c>
      <c r="E57" t="s">
        <v>136</v>
      </c>
      <c r="F57" t="s">
        <v>13</v>
      </c>
      <c r="G57" t="s">
        <v>13</v>
      </c>
      <c r="H57" t="s">
        <v>13</v>
      </c>
      <c r="I57" t="s">
        <v>14</v>
      </c>
      <c r="J57" t="s">
        <v>27</v>
      </c>
      <c r="K57" t="s">
        <v>21</v>
      </c>
      <c r="L57" t="s">
        <v>17</v>
      </c>
    </row>
    <row r="58" spans="1:12" x14ac:dyDescent="0.25">
      <c r="A58" t="s">
        <v>137</v>
      </c>
      <c r="B58">
        <v>1</v>
      </c>
      <c r="C58" s="1">
        <v>44601</v>
      </c>
      <c r="D58" s="2">
        <v>0.2902777777777778</v>
      </c>
      <c r="E58" t="s">
        <v>138</v>
      </c>
      <c r="F58" t="s">
        <v>13</v>
      </c>
      <c r="G58" t="s">
        <v>13</v>
      </c>
      <c r="H58" t="s">
        <v>13</v>
      </c>
      <c r="I58" t="s">
        <v>14</v>
      </c>
      <c r="J58" t="s">
        <v>27</v>
      </c>
      <c r="K58" t="s">
        <v>21</v>
      </c>
      <c r="L58" t="s">
        <v>17</v>
      </c>
    </row>
    <row r="59" spans="1:12" x14ac:dyDescent="0.25">
      <c r="A59" t="s">
        <v>139</v>
      </c>
      <c r="B59">
        <v>4</v>
      </c>
      <c r="C59" s="1">
        <v>44601</v>
      </c>
      <c r="D59" s="2">
        <v>0.24236111111111111</v>
      </c>
      <c r="E59" t="s">
        <v>140</v>
      </c>
      <c r="F59" t="s">
        <v>36</v>
      </c>
      <c r="G59" t="s">
        <v>36</v>
      </c>
      <c r="H59" t="s">
        <v>36</v>
      </c>
      <c r="I59" t="s">
        <v>13</v>
      </c>
      <c r="J59" t="s">
        <v>27</v>
      </c>
      <c r="K59" t="s">
        <v>21</v>
      </c>
      <c r="L59" t="s">
        <v>17</v>
      </c>
    </row>
    <row r="60" spans="1:12" x14ac:dyDescent="0.25">
      <c r="A60" t="s">
        <v>141</v>
      </c>
      <c r="B60">
        <v>3</v>
      </c>
      <c r="C60" s="1">
        <v>44601</v>
      </c>
      <c r="D60" s="2">
        <v>0.21805555555555556</v>
      </c>
      <c r="E60" t="s">
        <v>142</v>
      </c>
      <c r="F60" t="s">
        <v>31</v>
      </c>
      <c r="G60" t="s">
        <v>31</v>
      </c>
      <c r="H60" t="s">
        <v>31</v>
      </c>
      <c r="I60" t="s">
        <v>32</v>
      </c>
      <c r="J60" t="s">
        <v>27</v>
      </c>
      <c r="K60" t="s">
        <v>21</v>
      </c>
      <c r="L60" t="s">
        <v>33</v>
      </c>
    </row>
    <row r="61" spans="1:12" x14ac:dyDescent="0.25">
      <c r="A61" t="s">
        <v>143</v>
      </c>
      <c r="B61">
        <v>4</v>
      </c>
      <c r="C61" s="1">
        <v>44601</v>
      </c>
      <c r="D61" s="2">
        <v>0.21527777777777779</v>
      </c>
      <c r="E61" t="s">
        <v>144</v>
      </c>
      <c r="F61" t="s">
        <v>36</v>
      </c>
      <c r="G61" t="s">
        <v>36</v>
      </c>
      <c r="H61" t="s">
        <v>36</v>
      </c>
      <c r="I61" t="s">
        <v>13</v>
      </c>
      <c r="J61" t="s">
        <v>27</v>
      </c>
      <c r="K61" t="s">
        <v>21</v>
      </c>
      <c r="L61" t="s">
        <v>17</v>
      </c>
    </row>
    <row r="62" spans="1:12" x14ac:dyDescent="0.25">
      <c r="A62" t="s">
        <v>145</v>
      </c>
      <c r="B62">
        <v>2</v>
      </c>
      <c r="C62" s="1">
        <v>44601</v>
      </c>
      <c r="D62" s="2">
        <v>0.1986111111111111</v>
      </c>
      <c r="E62" t="s">
        <v>146</v>
      </c>
      <c r="F62" t="s">
        <v>31</v>
      </c>
      <c r="G62" t="s">
        <v>31</v>
      </c>
      <c r="H62" t="s">
        <v>31</v>
      </c>
      <c r="I62" t="s">
        <v>32</v>
      </c>
      <c r="J62" t="s">
        <v>27</v>
      </c>
      <c r="K62" t="s">
        <v>16</v>
      </c>
      <c r="L62" t="s">
        <v>33</v>
      </c>
    </row>
    <row r="63" spans="1:12" x14ac:dyDescent="0.25">
      <c r="A63" t="s">
        <v>147</v>
      </c>
      <c r="B63">
        <v>5</v>
      </c>
      <c r="C63" s="1">
        <v>44601</v>
      </c>
      <c r="D63" s="2">
        <v>0.1875</v>
      </c>
      <c r="E63" t="s">
        <v>148</v>
      </c>
      <c r="F63" t="s">
        <v>36</v>
      </c>
      <c r="G63" t="s">
        <v>36</v>
      </c>
      <c r="H63" t="s">
        <v>36</v>
      </c>
      <c r="I63" t="s">
        <v>13</v>
      </c>
      <c r="J63" t="s">
        <v>27</v>
      </c>
      <c r="K63" t="s">
        <v>21</v>
      </c>
      <c r="L63" t="s">
        <v>17</v>
      </c>
    </row>
    <row r="64" spans="1:12" x14ac:dyDescent="0.25">
      <c r="A64" t="s">
        <v>149</v>
      </c>
      <c r="B64">
        <v>5</v>
      </c>
      <c r="C64" s="1">
        <v>44601</v>
      </c>
      <c r="D64" s="2">
        <v>0.98333333333333339</v>
      </c>
      <c r="E64" t="s">
        <v>150</v>
      </c>
      <c r="F64" t="s">
        <v>36</v>
      </c>
      <c r="G64" t="s">
        <v>36</v>
      </c>
      <c r="H64" t="s">
        <v>36</v>
      </c>
      <c r="I64" t="s">
        <v>13</v>
      </c>
      <c r="J64" t="s">
        <v>27</v>
      </c>
      <c r="K64" t="s">
        <v>21</v>
      </c>
      <c r="L64" t="s">
        <v>17</v>
      </c>
    </row>
    <row r="65" spans="1:12" x14ac:dyDescent="0.25">
      <c r="A65" t="s">
        <v>151</v>
      </c>
      <c r="B65">
        <v>1</v>
      </c>
      <c r="C65" s="1">
        <v>44601</v>
      </c>
      <c r="D65" s="2">
        <v>0.97569444444444453</v>
      </c>
      <c r="E65" t="s">
        <v>152</v>
      </c>
      <c r="F65" t="s">
        <v>13</v>
      </c>
      <c r="G65" t="s">
        <v>13</v>
      </c>
      <c r="H65" t="s">
        <v>13</v>
      </c>
      <c r="I65" t="s">
        <v>14</v>
      </c>
      <c r="J65" t="s">
        <v>27</v>
      </c>
      <c r="K65" t="s">
        <v>21</v>
      </c>
      <c r="L65" t="s">
        <v>17</v>
      </c>
    </row>
    <row r="66" spans="1:12" x14ac:dyDescent="0.25">
      <c r="A66" t="s">
        <v>153</v>
      </c>
      <c r="B66">
        <v>1</v>
      </c>
      <c r="C66" s="1">
        <v>44601</v>
      </c>
      <c r="D66" s="2">
        <v>8.0555555555555561E-2</v>
      </c>
      <c r="E66" t="s">
        <v>154</v>
      </c>
      <c r="F66" t="s">
        <v>13</v>
      </c>
      <c r="G66" t="s">
        <v>13</v>
      </c>
      <c r="H66" t="s">
        <v>13</v>
      </c>
      <c r="I66" t="s">
        <v>14</v>
      </c>
      <c r="J66" t="s">
        <v>27</v>
      </c>
      <c r="K66" t="s">
        <v>21</v>
      </c>
      <c r="L66" t="s">
        <v>17</v>
      </c>
    </row>
    <row r="67" spans="1:12" x14ac:dyDescent="0.25">
      <c r="A67" t="s">
        <v>155</v>
      </c>
      <c r="B67">
        <v>4</v>
      </c>
      <c r="C67" s="1">
        <v>44601</v>
      </c>
      <c r="D67" s="2">
        <v>4.9999999999999996E-2</v>
      </c>
      <c r="E67" t="s">
        <v>156</v>
      </c>
      <c r="F67" t="s">
        <v>13</v>
      </c>
      <c r="G67" t="s">
        <v>13</v>
      </c>
      <c r="H67" t="s">
        <v>13</v>
      </c>
      <c r="I67" t="s">
        <v>14</v>
      </c>
      <c r="J67" t="s">
        <v>27</v>
      </c>
      <c r="K67" t="s">
        <v>21</v>
      </c>
      <c r="L67" t="s">
        <v>17</v>
      </c>
    </row>
    <row r="68" spans="1:12" x14ac:dyDescent="0.25">
      <c r="A68" t="s">
        <v>157</v>
      </c>
      <c r="B68">
        <v>5</v>
      </c>
      <c r="C68" s="1">
        <v>44601</v>
      </c>
      <c r="D68" s="2">
        <v>0.8125</v>
      </c>
      <c r="E68" t="s">
        <v>158</v>
      </c>
      <c r="F68" t="s">
        <v>36</v>
      </c>
      <c r="G68" t="s">
        <v>36</v>
      </c>
      <c r="H68" t="s">
        <v>36</v>
      </c>
      <c r="I68" t="s">
        <v>13</v>
      </c>
      <c r="J68" t="s">
        <v>27</v>
      </c>
      <c r="K68" t="s">
        <v>21</v>
      </c>
      <c r="L68" t="s">
        <v>17</v>
      </c>
    </row>
    <row r="69" spans="1:12" x14ac:dyDescent="0.25">
      <c r="A69" t="s">
        <v>159</v>
      </c>
      <c r="B69">
        <v>5</v>
      </c>
      <c r="C69" s="1">
        <v>44601</v>
      </c>
      <c r="D69" s="2">
        <v>0.80833333333333324</v>
      </c>
      <c r="E69" t="s">
        <v>160</v>
      </c>
      <c r="F69" t="s">
        <v>36</v>
      </c>
      <c r="G69" t="s">
        <v>36</v>
      </c>
      <c r="H69" t="s">
        <v>36</v>
      </c>
      <c r="I69" t="s">
        <v>13</v>
      </c>
      <c r="J69" t="s">
        <v>27</v>
      </c>
      <c r="K69" t="s">
        <v>21</v>
      </c>
      <c r="L69" t="s">
        <v>17</v>
      </c>
    </row>
    <row r="70" spans="1:12" x14ac:dyDescent="0.25">
      <c r="A70" t="s">
        <v>161</v>
      </c>
      <c r="B70">
        <v>1</v>
      </c>
      <c r="C70" s="1">
        <v>44601</v>
      </c>
      <c r="D70" s="2">
        <v>0.80138888888888893</v>
      </c>
      <c r="E70" t="s">
        <v>162</v>
      </c>
      <c r="F70" t="s">
        <v>13</v>
      </c>
      <c r="G70" t="s">
        <v>13</v>
      </c>
      <c r="H70" t="s">
        <v>13</v>
      </c>
      <c r="I70" t="s">
        <v>14</v>
      </c>
      <c r="J70" t="s">
        <v>27</v>
      </c>
      <c r="K70" t="s">
        <v>16</v>
      </c>
      <c r="L70" t="s">
        <v>17</v>
      </c>
    </row>
    <row r="71" spans="1:12" x14ac:dyDescent="0.25">
      <c r="A71" t="s">
        <v>163</v>
      </c>
      <c r="B71">
        <v>1</v>
      </c>
      <c r="C71" s="1">
        <v>44601</v>
      </c>
      <c r="D71" s="2">
        <v>0.74097222222222225</v>
      </c>
      <c r="E71" t="s">
        <v>164</v>
      </c>
      <c r="F71" t="s">
        <v>13</v>
      </c>
      <c r="G71" t="s">
        <v>13</v>
      </c>
      <c r="H71" t="s">
        <v>13</v>
      </c>
      <c r="I71" t="s">
        <v>14</v>
      </c>
      <c r="J71" t="s">
        <v>27</v>
      </c>
      <c r="K71" t="s">
        <v>21</v>
      </c>
      <c r="L71" t="s">
        <v>17</v>
      </c>
    </row>
    <row r="72" spans="1:12" x14ac:dyDescent="0.25">
      <c r="A72" t="s">
        <v>165</v>
      </c>
      <c r="B72">
        <v>3</v>
      </c>
      <c r="C72" s="1">
        <v>44601</v>
      </c>
      <c r="D72" s="2">
        <v>0.72638888888888886</v>
      </c>
      <c r="E72" t="s">
        <v>166</v>
      </c>
      <c r="F72" t="s">
        <v>31</v>
      </c>
      <c r="G72" t="s">
        <v>31</v>
      </c>
      <c r="H72" t="s">
        <v>31</v>
      </c>
      <c r="I72" t="s">
        <v>32</v>
      </c>
      <c r="J72" t="s">
        <v>27</v>
      </c>
      <c r="K72" t="s">
        <v>21</v>
      </c>
      <c r="L72" t="s">
        <v>33</v>
      </c>
    </row>
    <row r="73" spans="1:12" x14ac:dyDescent="0.25">
      <c r="A73" t="s">
        <v>167</v>
      </c>
      <c r="B73">
        <v>1</v>
      </c>
      <c r="C73" s="1">
        <v>44601</v>
      </c>
      <c r="D73" s="2">
        <v>0.63750000000000007</v>
      </c>
      <c r="E73" t="s">
        <v>168</v>
      </c>
      <c r="F73" t="s">
        <v>13</v>
      </c>
      <c r="G73" t="s">
        <v>13</v>
      </c>
      <c r="H73" t="s">
        <v>13</v>
      </c>
      <c r="I73" t="s">
        <v>14</v>
      </c>
      <c r="J73" t="s">
        <v>27</v>
      </c>
      <c r="K73" t="s">
        <v>21</v>
      </c>
      <c r="L73" t="s">
        <v>17</v>
      </c>
    </row>
    <row r="74" spans="1:12" x14ac:dyDescent="0.25">
      <c r="A74" t="s">
        <v>169</v>
      </c>
      <c r="B74">
        <v>2</v>
      </c>
      <c r="C74" s="1">
        <v>44601</v>
      </c>
      <c r="D74" s="2">
        <v>0.63680555555555551</v>
      </c>
      <c r="E74" t="s">
        <v>170</v>
      </c>
      <c r="F74" t="s">
        <v>13</v>
      </c>
      <c r="G74" t="s">
        <v>13</v>
      </c>
      <c r="H74" t="s">
        <v>13</v>
      </c>
      <c r="I74" t="s">
        <v>14</v>
      </c>
      <c r="J74" t="s">
        <v>27</v>
      </c>
      <c r="K74" t="s">
        <v>21</v>
      </c>
      <c r="L74" t="s">
        <v>17</v>
      </c>
    </row>
    <row r="75" spans="1:12" x14ac:dyDescent="0.25">
      <c r="A75" t="s">
        <v>171</v>
      </c>
      <c r="B75">
        <v>5</v>
      </c>
      <c r="C75" s="1">
        <v>44601</v>
      </c>
      <c r="D75" s="2">
        <v>0.59027777777777779</v>
      </c>
      <c r="E75" t="s">
        <v>172</v>
      </c>
      <c r="F75" t="s">
        <v>36</v>
      </c>
      <c r="G75" t="s">
        <v>36</v>
      </c>
      <c r="H75" t="s">
        <v>36</v>
      </c>
      <c r="I75" t="s">
        <v>13</v>
      </c>
      <c r="J75" t="s">
        <v>27</v>
      </c>
      <c r="K75" t="s">
        <v>21</v>
      </c>
      <c r="L75" t="s">
        <v>17</v>
      </c>
    </row>
    <row r="76" spans="1:12" x14ac:dyDescent="0.25">
      <c r="A76" t="s">
        <v>173</v>
      </c>
      <c r="B76">
        <v>1</v>
      </c>
      <c r="C76" s="1">
        <v>44601</v>
      </c>
      <c r="D76" s="2">
        <v>0.58333333333333337</v>
      </c>
      <c r="E76" t="s">
        <v>174</v>
      </c>
      <c r="F76" t="s">
        <v>13</v>
      </c>
      <c r="G76" t="s">
        <v>13</v>
      </c>
      <c r="H76" t="s">
        <v>13</v>
      </c>
      <c r="I76" t="s">
        <v>14</v>
      </c>
      <c r="J76" t="s">
        <v>27</v>
      </c>
      <c r="K76" t="s">
        <v>21</v>
      </c>
      <c r="L76" t="s">
        <v>17</v>
      </c>
    </row>
    <row r="77" spans="1:12" x14ac:dyDescent="0.25">
      <c r="A77" t="s">
        <v>175</v>
      </c>
      <c r="B77">
        <v>2</v>
      </c>
      <c r="C77" s="1">
        <v>44601</v>
      </c>
      <c r="D77" s="2">
        <v>0.57291666666666663</v>
      </c>
      <c r="E77" t="s">
        <v>176</v>
      </c>
      <c r="F77" t="s">
        <v>31</v>
      </c>
      <c r="G77" t="s">
        <v>31</v>
      </c>
      <c r="H77" t="s">
        <v>31</v>
      </c>
      <c r="I77" t="s">
        <v>32</v>
      </c>
      <c r="J77" t="s">
        <v>27</v>
      </c>
      <c r="K77" t="s">
        <v>16</v>
      </c>
      <c r="L77" t="s">
        <v>33</v>
      </c>
    </row>
    <row r="78" spans="1:12" x14ac:dyDescent="0.25">
      <c r="A78" t="s">
        <v>177</v>
      </c>
      <c r="B78">
        <v>5</v>
      </c>
      <c r="C78" s="1">
        <v>44601</v>
      </c>
      <c r="D78" s="2">
        <v>0.56319444444444444</v>
      </c>
      <c r="E78" t="s">
        <v>178</v>
      </c>
      <c r="F78" t="s">
        <v>36</v>
      </c>
      <c r="G78" t="s">
        <v>36</v>
      </c>
      <c r="H78" t="s">
        <v>36</v>
      </c>
      <c r="I78" t="s">
        <v>13</v>
      </c>
      <c r="J78" t="s">
        <v>27</v>
      </c>
      <c r="K78" t="s">
        <v>16</v>
      </c>
      <c r="L78" t="s">
        <v>17</v>
      </c>
    </row>
    <row r="79" spans="1:12" x14ac:dyDescent="0.25">
      <c r="A79" t="s">
        <v>179</v>
      </c>
      <c r="B79">
        <v>3</v>
      </c>
      <c r="C79" s="1">
        <v>44601</v>
      </c>
      <c r="D79" s="2">
        <v>0.54583333333333328</v>
      </c>
      <c r="E79" t="s">
        <v>180</v>
      </c>
      <c r="F79" t="s">
        <v>31</v>
      </c>
      <c r="G79" t="s">
        <v>31</v>
      </c>
      <c r="H79" t="s">
        <v>31</v>
      </c>
      <c r="I79" t="s">
        <v>32</v>
      </c>
      <c r="J79" t="s">
        <v>27</v>
      </c>
      <c r="K79" t="s">
        <v>21</v>
      </c>
      <c r="L79" t="s">
        <v>33</v>
      </c>
    </row>
    <row r="80" spans="1:12" x14ac:dyDescent="0.25">
      <c r="A80" t="s">
        <v>181</v>
      </c>
      <c r="B80">
        <v>2</v>
      </c>
      <c r="C80" s="1">
        <v>44601</v>
      </c>
      <c r="D80" s="2">
        <v>0.51666666666666672</v>
      </c>
      <c r="E80" t="s">
        <v>182</v>
      </c>
      <c r="F80" t="s">
        <v>13</v>
      </c>
      <c r="G80" t="s">
        <v>13</v>
      </c>
      <c r="H80" t="s">
        <v>13</v>
      </c>
      <c r="I80" t="s">
        <v>14</v>
      </c>
      <c r="J80" t="s">
        <v>27</v>
      </c>
      <c r="K80" t="s">
        <v>21</v>
      </c>
      <c r="L80" t="s">
        <v>17</v>
      </c>
    </row>
    <row r="81" spans="1:12" x14ac:dyDescent="0.25">
      <c r="A81" t="s">
        <v>183</v>
      </c>
      <c r="B81">
        <v>4</v>
      </c>
      <c r="C81" s="1">
        <v>44601</v>
      </c>
      <c r="D81" s="2">
        <v>0.50972222222222219</v>
      </c>
      <c r="E81" t="s">
        <v>184</v>
      </c>
      <c r="F81" t="s">
        <v>31</v>
      </c>
      <c r="G81" t="s">
        <v>31</v>
      </c>
      <c r="H81" t="s">
        <v>31</v>
      </c>
      <c r="I81" t="s">
        <v>32</v>
      </c>
      <c r="J81" t="s">
        <v>27</v>
      </c>
      <c r="K81" t="s">
        <v>21</v>
      </c>
      <c r="L81" t="s">
        <v>33</v>
      </c>
    </row>
    <row r="82" spans="1:12" x14ac:dyDescent="0.25">
      <c r="A82" t="s">
        <v>185</v>
      </c>
      <c r="B82">
        <v>1</v>
      </c>
      <c r="C82" s="1">
        <v>44601</v>
      </c>
      <c r="D82" s="2">
        <v>0.50694444444444442</v>
      </c>
      <c r="E82" t="s">
        <v>186</v>
      </c>
      <c r="F82" t="s">
        <v>13</v>
      </c>
      <c r="G82" t="s">
        <v>13</v>
      </c>
      <c r="H82" t="s">
        <v>13</v>
      </c>
      <c r="I82" t="s">
        <v>14</v>
      </c>
      <c r="J82" t="s">
        <v>27</v>
      </c>
      <c r="K82" t="s">
        <v>21</v>
      </c>
      <c r="L82" t="s">
        <v>17</v>
      </c>
    </row>
    <row r="83" spans="1:12" x14ac:dyDescent="0.25">
      <c r="A83" t="s">
        <v>187</v>
      </c>
      <c r="B83">
        <v>5</v>
      </c>
      <c r="C83" s="1">
        <v>44601</v>
      </c>
      <c r="D83" s="2">
        <v>0.48958333333333331</v>
      </c>
      <c r="E83" t="s">
        <v>188</v>
      </c>
      <c r="F83" t="s">
        <v>13</v>
      </c>
      <c r="G83" t="s">
        <v>13</v>
      </c>
      <c r="H83" t="s">
        <v>13</v>
      </c>
      <c r="I83" t="s">
        <v>14</v>
      </c>
      <c r="J83" t="s">
        <v>27</v>
      </c>
      <c r="K83" t="s">
        <v>21</v>
      </c>
      <c r="L83" t="s">
        <v>17</v>
      </c>
    </row>
    <row r="84" spans="1:12" x14ac:dyDescent="0.25">
      <c r="A84" t="s">
        <v>189</v>
      </c>
      <c r="B84">
        <v>1</v>
      </c>
      <c r="C84" s="1">
        <v>44601</v>
      </c>
      <c r="D84" s="2">
        <v>0.48888888888888887</v>
      </c>
      <c r="E84" t="s">
        <v>190</v>
      </c>
      <c r="F84" t="s">
        <v>13</v>
      </c>
      <c r="G84" t="s">
        <v>13</v>
      </c>
      <c r="H84" t="s">
        <v>13</v>
      </c>
      <c r="I84" t="s">
        <v>14</v>
      </c>
      <c r="J84" t="s">
        <v>27</v>
      </c>
      <c r="K84" t="s">
        <v>21</v>
      </c>
      <c r="L84" t="s">
        <v>17</v>
      </c>
    </row>
    <row r="85" spans="1:12" x14ac:dyDescent="0.25">
      <c r="A85" t="s">
        <v>191</v>
      </c>
      <c r="B85">
        <v>5</v>
      </c>
      <c r="C85" s="1">
        <v>44601</v>
      </c>
      <c r="D85" s="2">
        <v>0.48402777777777778</v>
      </c>
      <c r="E85" t="s">
        <v>192</v>
      </c>
      <c r="F85" t="s">
        <v>31</v>
      </c>
      <c r="G85" t="s">
        <v>31</v>
      </c>
      <c r="H85" t="s">
        <v>31</v>
      </c>
      <c r="I85" t="s">
        <v>32</v>
      </c>
      <c r="J85" t="s">
        <v>27</v>
      </c>
      <c r="K85" t="s">
        <v>21</v>
      </c>
      <c r="L85" t="s">
        <v>33</v>
      </c>
    </row>
    <row r="86" spans="1:12" x14ac:dyDescent="0.25">
      <c r="A86" t="s">
        <v>193</v>
      </c>
      <c r="B86">
        <v>1</v>
      </c>
      <c r="C86" s="1">
        <v>44601</v>
      </c>
      <c r="D86" s="2">
        <v>0.47638888888888892</v>
      </c>
      <c r="E86" t="s">
        <v>194</v>
      </c>
      <c r="F86" t="s">
        <v>13</v>
      </c>
      <c r="G86" t="s">
        <v>13</v>
      </c>
      <c r="H86" t="s">
        <v>13</v>
      </c>
      <c r="I86" t="s">
        <v>14</v>
      </c>
      <c r="J86" t="s">
        <v>27</v>
      </c>
      <c r="K86" t="s">
        <v>21</v>
      </c>
      <c r="L86" t="s">
        <v>17</v>
      </c>
    </row>
    <row r="87" spans="1:12" x14ac:dyDescent="0.25">
      <c r="A87" t="s">
        <v>195</v>
      </c>
      <c r="B87">
        <v>5</v>
      </c>
      <c r="C87" s="1">
        <v>44601</v>
      </c>
      <c r="D87" s="2">
        <v>0.46875</v>
      </c>
      <c r="E87" t="s">
        <v>196</v>
      </c>
      <c r="F87" t="s">
        <v>31</v>
      </c>
      <c r="G87" t="s">
        <v>31</v>
      </c>
      <c r="H87" t="s">
        <v>31</v>
      </c>
      <c r="I87" t="s">
        <v>32</v>
      </c>
      <c r="J87" t="s">
        <v>27</v>
      </c>
      <c r="K87" t="s">
        <v>21</v>
      </c>
      <c r="L87" t="s">
        <v>33</v>
      </c>
    </row>
    <row r="88" spans="1:12" x14ac:dyDescent="0.25">
      <c r="A88" t="s">
        <v>197</v>
      </c>
      <c r="B88">
        <v>4</v>
      </c>
      <c r="C88" s="1">
        <v>44601</v>
      </c>
      <c r="D88" s="2">
        <v>0.46736111111111112</v>
      </c>
      <c r="E88" t="s">
        <v>198</v>
      </c>
      <c r="F88" t="s">
        <v>36</v>
      </c>
      <c r="G88" t="s">
        <v>36</v>
      </c>
      <c r="H88" t="s">
        <v>36</v>
      </c>
      <c r="I88" t="s">
        <v>13</v>
      </c>
      <c r="J88" t="s">
        <v>27</v>
      </c>
      <c r="K88" t="s">
        <v>21</v>
      </c>
      <c r="L88" t="s">
        <v>17</v>
      </c>
    </row>
    <row r="89" spans="1:12" x14ac:dyDescent="0.25">
      <c r="A89" t="s">
        <v>199</v>
      </c>
      <c r="B89">
        <v>1</v>
      </c>
      <c r="C89" s="1">
        <v>44601</v>
      </c>
      <c r="D89" s="2">
        <v>0.46666666666666662</v>
      </c>
      <c r="E89" t="s">
        <v>200</v>
      </c>
      <c r="F89" t="s">
        <v>13</v>
      </c>
      <c r="G89" t="s">
        <v>13</v>
      </c>
      <c r="H89" t="s">
        <v>13</v>
      </c>
      <c r="I89" t="s">
        <v>14</v>
      </c>
      <c r="J89" t="s">
        <v>27</v>
      </c>
      <c r="K89" t="s">
        <v>21</v>
      </c>
      <c r="L89" t="s">
        <v>17</v>
      </c>
    </row>
    <row r="90" spans="1:12" x14ac:dyDescent="0.25">
      <c r="A90" t="s">
        <v>201</v>
      </c>
      <c r="B90">
        <v>1</v>
      </c>
      <c r="C90" s="1">
        <v>44601</v>
      </c>
      <c r="D90" s="2">
        <v>0.46666666666666662</v>
      </c>
      <c r="E90" t="s">
        <v>202</v>
      </c>
      <c r="F90" t="s">
        <v>13</v>
      </c>
      <c r="G90" t="s">
        <v>13</v>
      </c>
      <c r="H90" t="s">
        <v>13</v>
      </c>
      <c r="I90" t="s">
        <v>14</v>
      </c>
      <c r="J90" t="s">
        <v>27</v>
      </c>
      <c r="K90" t="s">
        <v>21</v>
      </c>
      <c r="L90" t="s">
        <v>17</v>
      </c>
    </row>
    <row r="91" spans="1:12" x14ac:dyDescent="0.25">
      <c r="A91" t="s">
        <v>203</v>
      </c>
      <c r="B91">
        <v>1</v>
      </c>
      <c r="C91" s="1">
        <v>44601</v>
      </c>
      <c r="D91" s="2">
        <v>0.46111111111111108</v>
      </c>
      <c r="E91" t="s">
        <v>204</v>
      </c>
      <c r="F91" t="s">
        <v>13</v>
      </c>
      <c r="G91" t="s">
        <v>13</v>
      </c>
      <c r="H91" t="s">
        <v>13</v>
      </c>
      <c r="I91" t="s">
        <v>14</v>
      </c>
      <c r="J91" t="s">
        <v>27</v>
      </c>
      <c r="K91" t="s">
        <v>21</v>
      </c>
      <c r="L91" t="s">
        <v>17</v>
      </c>
    </row>
    <row r="92" spans="1:12" x14ac:dyDescent="0.25">
      <c r="A92" t="s">
        <v>205</v>
      </c>
      <c r="B92">
        <v>1</v>
      </c>
      <c r="C92" s="1">
        <v>44601</v>
      </c>
      <c r="D92" s="2">
        <v>0.45694444444444443</v>
      </c>
      <c r="E92" t="s">
        <v>206</v>
      </c>
      <c r="F92" t="s">
        <v>13</v>
      </c>
      <c r="G92" t="s">
        <v>13</v>
      </c>
      <c r="H92" t="s">
        <v>13</v>
      </c>
      <c r="I92" t="s">
        <v>14</v>
      </c>
      <c r="J92" t="s">
        <v>27</v>
      </c>
      <c r="K92" t="s">
        <v>21</v>
      </c>
      <c r="L92" t="s">
        <v>17</v>
      </c>
    </row>
    <row r="93" spans="1:12" x14ac:dyDescent="0.25">
      <c r="A93" t="s">
        <v>207</v>
      </c>
      <c r="B93">
        <v>3</v>
      </c>
      <c r="C93" s="1">
        <v>44601</v>
      </c>
      <c r="D93" s="2">
        <v>0.45069444444444445</v>
      </c>
      <c r="E93" t="s">
        <v>208</v>
      </c>
      <c r="F93" t="s">
        <v>13</v>
      </c>
      <c r="G93" t="s">
        <v>13</v>
      </c>
      <c r="H93" t="s">
        <v>13</v>
      </c>
      <c r="I93" t="s">
        <v>14</v>
      </c>
      <c r="J93" t="s">
        <v>27</v>
      </c>
      <c r="K93" t="s">
        <v>21</v>
      </c>
      <c r="L93" t="s">
        <v>17</v>
      </c>
    </row>
    <row r="94" spans="1:12" x14ac:dyDescent="0.25">
      <c r="A94" t="s">
        <v>209</v>
      </c>
      <c r="B94">
        <v>1</v>
      </c>
      <c r="C94" s="1">
        <v>44601</v>
      </c>
      <c r="D94" s="2">
        <v>0.44861111111111113</v>
      </c>
      <c r="E94" t="s">
        <v>210</v>
      </c>
      <c r="F94" t="s">
        <v>13</v>
      </c>
      <c r="G94" t="s">
        <v>13</v>
      </c>
      <c r="H94" t="s">
        <v>13</v>
      </c>
      <c r="I94" t="s">
        <v>14</v>
      </c>
      <c r="J94" t="s">
        <v>27</v>
      </c>
      <c r="K94" t="s">
        <v>21</v>
      </c>
      <c r="L94" t="s">
        <v>17</v>
      </c>
    </row>
    <row r="95" spans="1:12" x14ac:dyDescent="0.25">
      <c r="A95" t="s">
        <v>211</v>
      </c>
      <c r="B95">
        <v>5</v>
      </c>
      <c r="C95" s="1">
        <v>44601</v>
      </c>
      <c r="D95" s="2">
        <v>0.44236111111111115</v>
      </c>
      <c r="E95" t="s">
        <v>212</v>
      </c>
      <c r="F95" t="s">
        <v>36</v>
      </c>
      <c r="G95" t="s">
        <v>36</v>
      </c>
      <c r="H95" t="s">
        <v>36</v>
      </c>
      <c r="I95" t="s">
        <v>13</v>
      </c>
      <c r="J95" t="s">
        <v>27</v>
      </c>
      <c r="K95" t="s">
        <v>21</v>
      </c>
      <c r="L95" t="s">
        <v>17</v>
      </c>
    </row>
    <row r="96" spans="1:12" x14ac:dyDescent="0.25">
      <c r="A96" t="s">
        <v>213</v>
      </c>
      <c r="B96">
        <v>5</v>
      </c>
      <c r="C96" s="1">
        <v>44601</v>
      </c>
      <c r="D96" s="2">
        <v>0.4236111111111111</v>
      </c>
      <c r="E96" t="s">
        <v>214</v>
      </c>
      <c r="F96" t="s">
        <v>36</v>
      </c>
      <c r="G96" t="s">
        <v>36</v>
      </c>
      <c r="H96" t="s">
        <v>36</v>
      </c>
      <c r="I96" t="s">
        <v>13</v>
      </c>
      <c r="J96" t="s">
        <v>27</v>
      </c>
      <c r="K96" t="s">
        <v>21</v>
      </c>
      <c r="L96" t="s">
        <v>17</v>
      </c>
    </row>
    <row r="97" spans="1:12" x14ac:dyDescent="0.25">
      <c r="A97" t="s">
        <v>215</v>
      </c>
      <c r="B97">
        <v>1</v>
      </c>
      <c r="C97" s="1">
        <v>44601</v>
      </c>
      <c r="D97" s="2">
        <v>0.42083333333333334</v>
      </c>
      <c r="E97" t="s">
        <v>216</v>
      </c>
      <c r="F97" t="s">
        <v>13</v>
      </c>
      <c r="G97" t="s">
        <v>13</v>
      </c>
      <c r="H97" t="s">
        <v>13</v>
      </c>
      <c r="I97" t="s">
        <v>14</v>
      </c>
      <c r="J97" t="s">
        <v>27</v>
      </c>
      <c r="K97" t="s">
        <v>21</v>
      </c>
      <c r="L97" t="s">
        <v>17</v>
      </c>
    </row>
    <row r="98" spans="1:12" x14ac:dyDescent="0.25">
      <c r="A98" t="s">
        <v>217</v>
      </c>
      <c r="B98">
        <v>1</v>
      </c>
      <c r="C98" s="1">
        <v>44600</v>
      </c>
      <c r="D98" s="2">
        <v>0.39930555555555558</v>
      </c>
      <c r="E98" t="s">
        <v>218</v>
      </c>
      <c r="F98" t="s">
        <v>13</v>
      </c>
      <c r="G98" t="s">
        <v>13</v>
      </c>
      <c r="H98" t="s">
        <v>13</v>
      </c>
      <c r="I98" t="s">
        <v>14</v>
      </c>
      <c r="J98" t="s">
        <v>27</v>
      </c>
      <c r="K98" t="s">
        <v>21</v>
      </c>
      <c r="L98" t="s">
        <v>17</v>
      </c>
    </row>
    <row r="99" spans="1:12" x14ac:dyDescent="0.25">
      <c r="A99" t="s">
        <v>219</v>
      </c>
      <c r="B99">
        <v>5</v>
      </c>
      <c r="C99" s="1">
        <v>44600</v>
      </c>
      <c r="D99" s="2">
        <v>0.39513888888888887</v>
      </c>
      <c r="E99" t="s">
        <v>220</v>
      </c>
      <c r="F99" t="s">
        <v>36</v>
      </c>
      <c r="G99" t="s">
        <v>36</v>
      </c>
      <c r="H99" t="s">
        <v>36</v>
      </c>
      <c r="I99" t="s">
        <v>13</v>
      </c>
      <c r="J99" t="s">
        <v>27</v>
      </c>
      <c r="K99" t="s">
        <v>21</v>
      </c>
      <c r="L99" t="s">
        <v>17</v>
      </c>
    </row>
    <row r="100" spans="1:12" x14ac:dyDescent="0.25">
      <c r="A100" t="s">
        <v>221</v>
      </c>
      <c r="B100">
        <v>5</v>
      </c>
      <c r="C100" s="1">
        <v>44600</v>
      </c>
      <c r="D100" s="2">
        <v>0.33333333333333331</v>
      </c>
      <c r="E100" t="s">
        <v>222</v>
      </c>
      <c r="F100" t="s">
        <v>36</v>
      </c>
      <c r="G100" t="s">
        <v>36</v>
      </c>
      <c r="H100" t="s">
        <v>36</v>
      </c>
      <c r="I100" t="s">
        <v>13</v>
      </c>
      <c r="J100" t="s">
        <v>27</v>
      </c>
      <c r="K100" t="s">
        <v>21</v>
      </c>
      <c r="L100" t="s">
        <v>17</v>
      </c>
    </row>
    <row r="101" spans="1:12" x14ac:dyDescent="0.25">
      <c r="A101" t="s">
        <v>223</v>
      </c>
      <c r="B101">
        <v>5</v>
      </c>
      <c r="C101" s="1">
        <v>44600</v>
      </c>
      <c r="D101" s="2">
        <v>0.30486111111111108</v>
      </c>
      <c r="E101" t="s">
        <v>224</v>
      </c>
      <c r="F101" t="s">
        <v>36</v>
      </c>
      <c r="G101" t="s">
        <v>36</v>
      </c>
      <c r="H101" t="s">
        <v>36</v>
      </c>
      <c r="I101" t="s">
        <v>13</v>
      </c>
      <c r="J101" t="s">
        <v>27</v>
      </c>
      <c r="K101" t="s">
        <v>28</v>
      </c>
      <c r="L101" t="s">
        <v>17</v>
      </c>
    </row>
    <row r="102" spans="1:12" x14ac:dyDescent="0.25">
      <c r="A102" t="s">
        <v>225</v>
      </c>
      <c r="B102">
        <v>5</v>
      </c>
      <c r="C102" s="1">
        <v>44600</v>
      </c>
      <c r="D102" s="2">
        <v>0.27708333333333335</v>
      </c>
      <c r="E102" t="s">
        <v>226</v>
      </c>
      <c r="F102" t="s">
        <v>36</v>
      </c>
      <c r="G102" t="s">
        <v>36</v>
      </c>
      <c r="H102" t="s">
        <v>36</v>
      </c>
      <c r="I102" t="s">
        <v>13</v>
      </c>
      <c r="J102" t="s">
        <v>27</v>
      </c>
      <c r="K102" t="s">
        <v>21</v>
      </c>
      <c r="L102" t="s">
        <v>17</v>
      </c>
    </row>
    <row r="103" spans="1:12" x14ac:dyDescent="0.25">
      <c r="A103" t="s">
        <v>227</v>
      </c>
      <c r="B103">
        <v>5</v>
      </c>
      <c r="C103" s="1">
        <v>44600</v>
      </c>
      <c r="D103" s="2">
        <v>0.25972222222222224</v>
      </c>
      <c r="E103" t="s">
        <v>228</v>
      </c>
      <c r="F103" t="s">
        <v>36</v>
      </c>
      <c r="G103" t="s">
        <v>36</v>
      </c>
      <c r="H103" t="s">
        <v>36</v>
      </c>
      <c r="I103" t="s">
        <v>13</v>
      </c>
      <c r="J103" t="s">
        <v>27</v>
      </c>
      <c r="K103" t="s">
        <v>21</v>
      </c>
      <c r="L103" t="s">
        <v>17</v>
      </c>
    </row>
    <row r="104" spans="1:12" x14ac:dyDescent="0.25">
      <c r="A104" t="s">
        <v>229</v>
      </c>
      <c r="B104">
        <v>5</v>
      </c>
      <c r="C104" s="1">
        <v>44600</v>
      </c>
      <c r="D104" s="2">
        <v>0.2388888888888889</v>
      </c>
      <c r="E104" t="s">
        <v>230</v>
      </c>
      <c r="F104" t="s">
        <v>36</v>
      </c>
      <c r="G104" t="s">
        <v>36</v>
      </c>
      <c r="H104" t="s">
        <v>36</v>
      </c>
      <c r="I104" t="s">
        <v>13</v>
      </c>
      <c r="J104" t="s">
        <v>27</v>
      </c>
      <c r="K104" t="s">
        <v>21</v>
      </c>
      <c r="L104" t="s">
        <v>17</v>
      </c>
    </row>
    <row r="105" spans="1:12" x14ac:dyDescent="0.25">
      <c r="A105" t="s">
        <v>231</v>
      </c>
      <c r="B105">
        <v>1</v>
      </c>
      <c r="C105" s="1">
        <v>44600</v>
      </c>
      <c r="D105" s="2">
        <v>0.23124999999999998</v>
      </c>
      <c r="E105" t="s">
        <v>232</v>
      </c>
      <c r="F105" t="s">
        <v>13</v>
      </c>
      <c r="G105" t="s">
        <v>13</v>
      </c>
      <c r="H105" t="s">
        <v>13</v>
      </c>
      <c r="I105" t="s">
        <v>14</v>
      </c>
      <c r="J105" t="s">
        <v>27</v>
      </c>
      <c r="K105" t="s">
        <v>21</v>
      </c>
      <c r="L105" t="s">
        <v>17</v>
      </c>
    </row>
    <row r="106" spans="1:12" x14ac:dyDescent="0.25">
      <c r="A106" t="s">
        <v>233</v>
      </c>
      <c r="B106">
        <v>4</v>
      </c>
      <c r="C106" s="1">
        <v>44600</v>
      </c>
      <c r="D106" s="2">
        <v>0.97777777777777775</v>
      </c>
      <c r="E106" t="s">
        <v>234</v>
      </c>
      <c r="F106" t="s">
        <v>31</v>
      </c>
      <c r="G106" t="s">
        <v>31</v>
      </c>
      <c r="H106" t="s">
        <v>31</v>
      </c>
      <c r="I106" t="s">
        <v>32</v>
      </c>
      <c r="J106" t="s">
        <v>27</v>
      </c>
      <c r="K106" t="s">
        <v>21</v>
      </c>
      <c r="L106" t="s">
        <v>33</v>
      </c>
    </row>
    <row r="107" spans="1:12" x14ac:dyDescent="0.25">
      <c r="A107" t="s">
        <v>235</v>
      </c>
      <c r="B107">
        <v>4</v>
      </c>
      <c r="C107" s="1">
        <v>44600</v>
      </c>
      <c r="D107" s="2">
        <v>0.8965277777777777</v>
      </c>
      <c r="E107" t="s">
        <v>236</v>
      </c>
      <c r="F107" t="s">
        <v>13</v>
      </c>
      <c r="G107" t="s">
        <v>13</v>
      </c>
      <c r="H107" t="s">
        <v>13</v>
      </c>
      <c r="I107" t="s">
        <v>14</v>
      </c>
      <c r="J107" t="s">
        <v>27</v>
      </c>
      <c r="K107" t="s">
        <v>21</v>
      </c>
      <c r="L107" t="s">
        <v>17</v>
      </c>
    </row>
    <row r="108" spans="1:12" x14ac:dyDescent="0.25">
      <c r="A108" t="s">
        <v>237</v>
      </c>
      <c r="B108">
        <v>1</v>
      </c>
      <c r="C108" s="1">
        <v>44600</v>
      </c>
      <c r="D108" s="2">
        <v>8.1944444444444445E-2</v>
      </c>
      <c r="E108" t="s">
        <v>238</v>
      </c>
      <c r="F108" t="s">
        <v>13</v>
      </c>
      <c r="G108" t="s">
        <v>13</v>
      </c>
      <c r="H108" t="s">
        <v>13</v>
      </c>
      <c r="I108" t="s">
        <v>14</v>
      </c>
      <c r="J108" t="s">
        <v>27</v>
      </c>
      <c r="K108" t="s">
        <v>21</v>
      </c>
      <c r="L108" t="s">
        <v>17</v>
      </c>
    </row>
    <row r="109" spans="1:12" x14ac:dyDescent="0.25">
      <c r="A109" t="s">
        <v>239</v>
      </c>
      <c r="B109">
        <v>1</v>
      </c>
      <c r="C109" s="1">
        <v>44600</v>
      </c>
      <c r="D109" s="2">
        <v>7.7083333333333337E-2</v>
      </c>
      <c r="E109" t="s">
        <v>240</v>
      </c>
      <c r="F109" t="s">
        <v>13</v>
      </c>
      <c r="G109" t="s">
        <v>13</v>
      </c>
      <c r="H109" t="s">
        <v>13</v>
      </c>
      <c r="I109" t="s">
        <v>14</v>
      </c>
      <c r="J109" t="s">
        <v>27</v>
      </c>
      <c r="K109" t="s">
        <v>21</v>
      </c>
      <c r="L109" t="s">
        <v>17</v>
      </c>
    </row>
    <row r="110" spans="1:12" x14ac:dyDescent="0.25">
      <c r="A110" t="s">
        <v>241</v>
      </c>
      <c r="B110">
        <v>5</v>
      </c>
      <c r="C110" s="1">
        <v>44600</v>
      </c>
      <c r="D110" s="2">
        <v>7.0833333333333331E-2</v>
      </c>
      <c r="E110" t="s">
        <v>242</v>
      </c>
      <c r="F110" t="s">
        <v>36</v>
      </c>
      <c r="G110" t="s">
        <v>36</v>
      </c>
      <c r="H110" t="s">
        <v>36</v>
      </c>
      <c r="I110" t="s">
        <v>13</v>
      </c>
      <c r="J110" t="s">
        <v>27</v>
      </c>
      <c r="K110" t="s">
        <v>21</v>
      </c>
      <c r="L110" t="s">
        <v>17</v>
      </c>
    </row>
    <row r="111" spans="1:12" x14ac:dyDescent="0.25">
      <c r="A111" t="s">
        <v>243</v>
      </c>
      <c r="B111">
        <v>1</v>
      </c>
      <c r="C111" s="1">
        <v>44600</v>
      </c>
      <c r="D111" s="2">
        <v>6.25E-2</v>
      </c>
      <c r="E111" t="s">
        <v>244</v>
      </c>
      <c r="F111" t="s">
        <v>13</v>
      </c>
      <c r="G111" t="s">
        <v>13</v>
      </c>
      <c r="H111" t="s">
        <v>13</v>
      </c>
      <c r="I111" t="s">
        <v>14</v>
      </c>
      <c r="J111" t="s">
        <v>27</v>
      </c>
      <c r="K111" t="s">
        <v>21</v>
      </c>
      <c r="L111" t="s">
        <v>17</v>
      </c>
    </row>
    <row r="112" spans="1:12" x14ac:dyDescent="0.25">
      <c r="A112" t="s">
        <v>245</v>
      </c>
      <c r="B112">
        <v>5</v>
      </c>
      <c r="C112" s="1">
        <v>44600</v>
      </c>
      <c r="D112" s="2">
        <v>5.6250000000000001E-2</v>
      </c>
      <c r="E112" t="s">
        <v>246</v>
      </c>
      <c r="F112" t="s">
        <v>36</v>
      </c>
      <c r="G112" t="s">
        <v>36</v>
      </c>
      <c r="H112" t="s">
        <v>36</v>
      </c>
      <c r="I112" t="s">
        <v>13</v>
      </c>
      <c r="J112" t="s">
        <v>27</v>
      </c>
      <c r="K112" t="s">
        <v>21</v>
      </c>
      <c r="L112" t="s">
        <v>17</v>
      </c>
    </row>
    <row r="113" spans="1:12" x14ac:dyDescent="0.25">
      <c r="A113" t="s">
        <v>247</v>
      </c>
      <c r="B113">
        <v>5</v>
      </c>
      <c r="C113" s="1">
        <v>44600</v>
      </c>
      <c r="D113" s="2">
        <v>0.80694444444444446</v>
      </c>
      <c r="E113" t="s">
        <v>248</v>
      </c>
      <c r="F113" t="s">
        <v>31</v>
      </c>
      <c r="G113" t="s">
        <v>31</v>
      </c>
      <c r="H113" t="s">
        <v>31</v>
      </c>
      <c r="I113" t="s">
        <v>32</v>
      </c>
      <c r="J113" t="s">
        <v>27</v>
      </c>
      <c r="K113" t="s">
        <v>16</v>
      </c>
      <c r="L113" t="s">
        <v>33</v>
      </c>
    </row>
    <row r="114" spans="1:12" x14ac:dyDescent="0.25">
      <c r="A114" t="s">
        <v>249</v>
      </c>
      <c r="B114">
        <v>1</v>
      </c>
      <c r="C114" s="1">
        <v>44600</v>
      </c>
      <c r="D114" s="2">
        <v>0.75347222222222221</v>
      </c>
      <c r="E114" t="s">
        <v>250</v>
      </c>
      <c r="F114" t="s">
        <v>13</v>
      </c>
      <c r="G114" t="s">
        <v>13</v>
      </c>
      <c r="H114" t="s">
        <v>13</v>
      </c>
      <c r="I114" t="s">
        <v>14</v>
      </c>
      <c r="J114" t="s">
        <v>27</v>
      </c>
      <c r="K114" t="s">
        <v>21</v>
      </c>
      <c r="L114" t="s">
        <v>17</v>
      </c>
    </row>
    <row r="115" spans="1:12" x14ac:dyDescent="0.25">
      <c r="A115" t="s">
        <v>251</v>
      </c>
      <c r="B115">
        <v>1</v>
      </c>
      <c r="C115" s="1">
        <v>44600</v>
      </c>
      <c r="D115" s="2">
        <v>0.7055555555555556</v>
      </c>
      <c r="E115" t="s">
        <v>252</v>
      </c>
      <c r="F115" t="s">
        <v>13</v>
      </c>
      <c r="G115" t="s">
        <v>13</v>
      </c>
      <c r="H115" t="s">
        <v>13</v>
      </c>
      <c r="I115" t="s">
        <v>14</v>
      </c>
      <c r="J115" t="s">
        <v>27</v>
      </c>
      <c r="K115" t="s">
        <v>21</v>
      </c>
      <c r="L115" t="s">
        <v>17</v>
      </c>
    </row>
    <row r="116" spans="1:12" x14ac:dyDescent="0.25">
      <c r="A116" t="s">
        <v>253</v>
      </c>
      <c r="B116">
        <v>3</v>
      </c>
      <c r="C116" s="1">
        <v>44600</v>
      </c>
      <c r="D116" s="2">
        <v>0.65972222222222221</v>
      </c>
      <c r="E116" t="s">
        <v>254</v>
      </c>
      <c r="F116" t="s">
        <v>31</v>
      </c>
      <c r="G116" t="s">
        <v>31</v>
      </c>
      <c r="H116" t="s">
        <v>31</v>
      </c>
      <c r="I116" t="s">
        <v>32</v>
      </c>
      <c r="J116" t="s">
        <v>27</v>
      </c>
      <c r="K116" t="s">
        <v>28</v>
      </c>
      <c r="L116" t="s">
        <v>33</v>
      </c>
    </row>
    <row r="117" spans="1:12" x14ac:dyDescent="0.25">
      <c r="A117" t="s">
        <v>255</v>
      </c>
      <c r="B117">
        <v>1</v>
      </c>
      <c r="C117" s="1">
        <v>44600</v>
      </c>
      <c r="D117" s="2">
        <v>0.65902777777777777</v>
      </c>
      <c r="E117" t="s">
        <v>256</v>
      </c>
      <c r="F117" t="s">
        <v>13</v>
      </c>
      <c r="G117" t="s">
        <v>13</v>
      </c>
      <c r="H117" t="s">
        <v>13</v>
      </c>
      <c r="I117" t="s">
        <v>14</v>
      </c>
      <c r="J117" t="s">
        <v>27</v>
      </c>
      <c r="K117" t="s">
        <v>21</v>
      </c>
      <c r="L117" t="s">
        <v>17</v>
      </c>
    </row>
    <row r="118" spans="1:12" x14ac:dyDescent="0.25">
      <c r="A118" t="s">
        <v>257</v>
      </c>
      <c r="B118">
        <v>1</v>
      </c>
      <c r="C118" s="1">
        <v>44600</v>
      </c>
      <c r="D118" s="2">
        <v>0.65625</v>
      </c>
      <c r="E118" t="s">
        <v>258</v>
      </c>
      <c r="F118" t="s">
        <v>13</v>
      </c>
      <c r="G118" t="s">
        <v>13</v>
      </c>
      <c r="H118" t="s">
        <v>13</v>
      </c>
      <c r="I118" t="s">
        <v>14</v>
      </c>
      <c r="J118" t="s">
        <v>27</v>
      </c>
      <c r="K118" t="s">
        <v>16</v>
      </c>
      <c r="L118" t="s">
        <v>17</v>
      </c>
    </row>
    <row r="119" spans="1:12" x14ac:dyDescent="0.25">
      <c r="A119" t="s">
        <v>259</v>
      </c>
      <c r="B119">
        <v>2</v>
      </c>
      <c r="C119" s="1">
        <v>44600</v>
      </c>
      <c r="D119" s="2">
        <v>0.64583333333333337</v>
      </c>
      <c r="E119" t="s">
        <v>260</v>
      </c>
      <c r="F119" t="s">
        <v>13</v>
      </c>
      <c r="G119" t="s">
        <v>13</v>
      </c>
      <c r="H119" t="s">
        <v>13</v>
      </c>
      <c r="I119" t="s">
        <v>14</v>
      </c>
      <c r="J119" t="s">
        <v>27</v>
      </c>
      <c r="K119" t="s">
        <v>21</v>
      </c>
      <c r="L119" t="s">
        <v>17</v>
      </c>
    </row>
    <row r="120" spans="1:12" x14ac:dyDescent="0.25">
      <c r="A120" t="s">
        <v>261</v>
      </c>
      <c r="B120">
        <v>1</v>
      </c>
      <c r="C120" s="1">
        <v>44600</v>
      </c>
      <c r="D120" s="2">
        <v>0.63055555555555554</v>
      </c>
      <c r="E120" t="s">
        <v>262</v>
      </c>
      <c r="F120" t="s">
        <v>13</v>
      </c>
      <c r="G120" t="s">
        <v>13</v>
      </c>
      <c r="H120" t="s">
        <v>13</v>
      </c>
      <c r="I120" t="s">
        <v>14</v>
      </c>
      <c r="J120" t="s">
        <v>27</v>
      </c>
      <c r="K120" t="s">
        <v>21</v>
      </c>
      <c r="L120" t="s">
        <v>17</v>
      </c>
    </row>
    <row r="121" spans="1:12" x14ac:dyDescent="0.25">
      <c r="A121" t="s">
        <v>263</v>
      </c>
      <c r="B121">
        <v>1</v>
      </c>
      <c r="C121" s="1">
        <v>44600</v>
      </c>
      <c r="D121" s="2">
        <v>0.61388888888888882</v>
      </c>
      <c r="E121" t="s">
        <v>264</v>
      </c>
      <c r="F121" t="s">
        <v>13</v>
      </c>
      <c r="G121" t="s">
        <v>13</v>
      </c>
      <c r="H121" t="s">
        <v>13</v>
      </c>
      <c r="I121" t="s">
        <v>14</v>
      </c>
      <c r="J121" t="s">
        <v>27</v>
      </c>
      <c r="K121" t="s">
        <v>28</v>
      </c>
      <c r="L121" t="s">
        <v>17</v>
      </c>
    </row>
    <row r="122" spans="1:12" x14ac:dyDescent="0.25">
      <c r="A122" t="s">
        <v>265</v>
      </c>
      <c r="B122">
        <v>5</v>
      </c>
      <c r="C122" s="1">
        <v>44600</v>
      </c>
      <c r="D122" s="2">
        <v>0.57291666666666663</v>
      </c>
      <c r="E122" t="s">
        <v>266</v>
      </c>
      <c r="F122" t="s">
        <v>13</v>
      </c>
      <c r="G122" t="s">
        <v>13</v>
      </c>
      <c r="H122" t="s">
        <v>13</v>
      </c>
      <c r="I122" t="s">
        <v>14</v>
      </c>
      <c r="J122" t="s">
        <v>27</v>
      </c>
      <c r="K122" t="s">
        <v>28</v>
      </c>
      <c r="L122" t="s">
        <v>17</v>
      </c>
    </row>
    <row r="123" spans="1:12" x14ac:dyDescent="0.25">
      <c r="A123" t="s">
        <v>267</v>
      </c>
      <c r="B123">
        <v>1</v>
      </c>
      <c r="C123" s="1">
        <v>44600</v>
      </c>
      <c r="D123" s="2">
        <v>0.48055555555555557</v>
      </c>
      <c r="E123" t="s">
        <v>268</v>
      </c>
      <c r="F123" t="s">
        <v>13</v>
      </c>
      <c r="G123" t="s">
        <v>13</v>
      </c>
      <c r="H123" t="s">
        <v>13</v>
      </c>
      <c r="I123" t="s">
        <v>14</v>
      </c>
      <c r="J123" t="s">
        <v>27</v>
      </c>
      <c r="K123" t="s">
        <v>21</v>
      </c>
      <c r="L123" t="s">
        <v>17</v>
      </c>
    </row>
    <row r="124" spans="1:12" x14ac:dyDescent="0.25">
      <c r="A124" t="s">
        <v>269</v>
      </c>
      <c r="B124">
        <v>3</v>
      </c>
      <c r="C124" s="1">
        <v>44600</v>
      </c>
      <c r="D124" s="2">
        <v>0.43402777777777773</v>
      </c>
      <c r="E124" t="s">
        <v>270</v>
      </c>
      <c r="F124" t="s">
        <v>13</v>
      </c>
      <c r="G124" t="s">
        <v>13</v>
      </c>
      <c r="H124" t="s">
        <v>13</v>
      </c>
      <c r="I124" t="s">
        <v>14</v>
      </c>
      <c r="J124" t="s">
        <v>27</v>
      </c>
      <c r="K124" t="s">
        <v>21</v>
      </c>
      <c r="L124" t="s">
        <v>17</v>
      </c>
    </row>
    <row r="125" spans="1:12" x14ac:dyDescent="0.25">
      <c r="A125" t="s">
        <v>271</v>
      </c>
      <c r="B125">
        <v>3</v>
      </c>
      <c r="C125" s="1">
        <v>44600</v>
      </c>
      <c r="D125" s="2">
        <v>0.42777777777777781</v>
      </c>
      <c r="E125" t="s">
        <v>272</v>
      </c>
      <c r="F125" t="s">
        <v>31</v>
      </c>
      <c r="G125" t="s">
        <v>31</v>
      </c>
      <c r="H125" t="s">
        <v>31</v>
      </c>
      <c r="I125" t="s">
        <v>32</v>
      </c>
      <c r="J125" t="s">
        <v>27</v>
      </c>
      <c r="K125" t="s">
        <v>28</v>
      </c>
      <c r="L125" t="s">
        <v>33</v>
      </c>
    </row>
    <row r="126" spans="1:12" x14ac:dyDescent="0.25">
      <c r="A126" t="s">
        <v>273</v>
      </c>
      <c r="B126">
        <v>1</v>
      </c>
      <c r="C126" s="1">
        <v>44600</v>
      </c>
      <c r="D126" s="2">
        <v>4.1666666666666666E-3</v>
      </c>
      <c r="E126" t="s">
        <v>274</v>
      </c>
      <c r="F126" t="s">
        <v>13</v>
      </c>
      <c r="G126" t="s">
        <v>13</v>
      </c>
      <c r="H126" t="s">
        <v>13</v>
      </c>
      <c r="I126" t="s">
        <v>14</v>
      </c>
      <c r="J126" t="s">
        <v>27</v>
      </c>
      <c r="K126" t="s">
        <v>21</v>
      </c>
      <c r="L126" t="s">
        <v>17</v>
      </c>
    </row>
    <row r="127" spans="1:12" x14ac:dyDescent="0.25">
      <c r="A127" t="s">
        <v>275</v>
      </c>
      <c r="B127">
        <v>4</v>
      </c>
      <c r="C127" s="1">
        <v>44599</v>
      </c>
      <c r="D127" s="2">
        <v>0.40347222222222223</v>
      </c>
      <c r="E127" t="s">
        <v>276</v>
      </c>
      <c r="F127" t="s">
        <v>13</v>
      </c>
      <c r="G127" t="s">
        <v>13</v>
      </c>
      <c r="H127" t="s">
        <v>13</v>
      </c>
      <c r="I127" t="s">
        <v>14</v>
      </c>
      <c r="J127" t="s">
        <v>27</v>
      </c>
      <c r="K127" t="s">
        <v>21</v>
      </c>
      <c r="L127" t="s">
        <v>17</v>
      </c>
    </row>
    <row r="128" spans="1:12" x14ac:dyDescent="0.25">
      <c r="A128" t="s">
        <v>277</v>
      </c>
      <c r="B128">
        <v>3</v>
      </c>
      <c r="C128" s="1">
        <v>44599</v>
      </c>
      <c r="D128" s="2">
        <v>0.39305555555555555</v>
      </c>
      <c r="E128" t="s">
        <v>278</v>
      </c>
      <c r="F128" t="s">
        <v>31</v>
      </c>
      <c r="G128" t="s">
        <v>31</v>
      </c>
      <c r="H128" t="s">
        <v>31</v>
      </c>
      <c r="I128" t="s">
        <v>32</v>
      </c>
      <c r="J128" t="s">
        <v>27</v>
      </c>
      <c r="K128" t="s">
        <v>21</v>
      </c>
      <c r="L128" t="s">
        <v>33</v>
      </c>
    </row>
    <row r="129" spans="1:12" x14ac:dyDescent="0.25">
      <c r="A129" t="s">
        <v>279</v>
      </c>
      <c r="B129">
        <v>1</v>
      </c>
      <c r="C129" s="1">
        <v>44599</v>
      </c>
      <c r="D129" s="2">
        <v>0.38750000000000001</v>
      </c>
      <c r="E129" t="s">
        <v>280</v>
      </c>
      <c r="F129" t="s">
        <v>13</v>
      </c>
      <c r="G129" t="s">
        <v>13</v>
      </c>
      <c r="H129" t="s">
        <v>13</v>
      </c>
      <c r="I129" t="s">
        <v>14</v>
      </c>
      <c r="J129" t="s">
        <v>27</v>
      </c>
      <c r="K129" t="s">
        <v>21</v>
      </c>
      <c r="L129" t="s">
        <v>17</v>
      </c>
    </row>
    <row r="130" spans="1:12" x14ac:dyDescent="0.25">
      <c r="A130" t="s">
        <v>281</v>
      </c>
      <c r="B130">
        <v>3</v>
      </c>
      <c r="C130" s="1">
        <v>44599</v>
      </c>
      <c r="D130" s="2">
        <v>0.37847222222222227</v>
      </c>
      <c r="E130" t="s">
        <v>282</v>
      </c>
      <c r="F130" t="s">
        <v>36</v>
      </c>
      <c r="G130" t="s">
        <v>36</v>
      </c>
      <c r="H130" t="s">
        <v>36</v>
      </c>
      <c r="I130" t="s">
        <v>13</v>
      </c>
      <c r="J130" t="s">
        <v>27</v>
      </c>
      <c r="K130" t="s">
        <v>28</v>
      </c>
      <c r="L130" t="s">
        <v>17</v>
      </c>
    </row>
    <row r="131" spans="1:12" x14ac:dyDescent="0.25">
      <c r="A131" t="s">
        <v>283</v>
      </c>
      <c r="B131">
        <v>1</v>
      </c>
      <c r="C131" s="1">
        <v>44599</v>
      </c>
      <c r="D131" s="2">
        <v>0.3263888888888889</v>
      </c>
      <c r="E131" t="s">
        <v>284</v>
      </c>
      <c r="F131" t="s">
        <v>13</v>
      </c>
      <c r="G131" t="s">
        <v>13</v>
      </c>
      <c r="H131" t="s">
        <v>13</v>
      </c>
      <c r="I131" t="s">
        <v>14</v>
      </c>
      <c r="J131" t="s">
        <v>27</v>
      </c>
      <c r="K131" t="s">
        <v>21</v>
      </c>
      <c r="L131" t="s">
        <v>17</v>
      </c>
    </row>
    <row r="132" spans="1:12" x14ac:dyDescent="0.25">
      <c r="A132" t="s">
        <v>285</v>
      </c>
      <c r="B132">
        <v>5</v>
      </c>
      <c r="C132" s="1">
        <v>44599</v>
      </c>
      <c r="D132" s="2">
        <v>0.31319444444444444</v>
      </c>
      <c r="E132" t="s">
        <v>286</v>
      </c>
      <c r="F132" t="s">
        <v>31</v>
      </c>
      <c r="G132" t="s">
        <v>31</v>
      </c>
      <c r="H132" t="s">
        <v>31</v>
      </c>
      <c r="I132" t="s">
        <v>32</v>
      </c>
      <c r="J132" t="s">
        <v>27</v>
      </c>
      <c r="K132" t="s">
        <v>21</v>
      </c>
      <c r="L132" t="s">
        <v>33</v>
      </c>
    </row>
    <row r="133" spans="1:12" x14ac:dyDescent="0.25">
      <c r="A133" t="s">
        <v>287</v>
      </c>
      <c r="B133">
        <v>1</v>
      </c>
      <c r="C133" s="1">
        <v>44599</v>
      </c>
      <c r="D133" s="2">
        <v>0.27013888888888887</v>
      </c>
      <c r="E133" t="s">
        <v>288</v>
      </c>
      <c r="F133" t="s">
        <v>13</v>
      </c>
      <c r="G133" t="s">
        <v>13</v>
      </c>
      <c r="H133" t="s">
        <v>13</v>
      </c>
      <c r="I133" t="s">
        <v>14</v>
      </c>
      <c r="J133" t="s">
        <v>27</v>
      </c>
      <c r="K133" t="s">
        <v>21</v>
      </c>
      <c r="L133" t="s">
        <v>17</v>
      </c>
    </row>
    <row r="134" spans="1:12" x14ac:dyDescent="0.25">
      <c r="A134" t="s">
        <v>289</v>
      </c>
      <c r="B134">
        <v>1</v>
      </c>
      <c r="C134" s="1">
        <v>44599</v>
      </c>
      <c r="D134" s="2">
        <v>0.21875</v>
      </c>
      <c r="E134" t="s">
        <v>290</v>
      </c>
      <c r="F134" t="s">
        <v>13</v>
      </c>
      <c r="G134" t="s">
        <v>13</v>
      </c>
      <c r="H134" t="s">
        <v>13</v>
      </c>
      <c r="I134" t="s">
        <v>14</v>
      </c>
      <c r="J134" t="s">
        <v>27</v>
      </c>
      <c r="K134" t="s">
        <v>16</v>
      </c>
      <c r="L134" t="s">
        <v>17</v>
      </c>
    </row>
    <row r="135" spans="1:12" x14ac:dyDescent="0.25">
      <c r="A135" t="s">
        <v>291</v>
      </c>
      <c r="B135">
        <v>1</v>
      </c>
      <c r="C135" s="1">
        <v>44599</v>
      </c>
      <c r="D135" s="2">
        <v>0.19236111111111112</v>
      </c>
      <c r="E135" t="s">
        <v>292</v>
      </c>
      <c r="F135" t="s">
        <v>13</v>
      </c>
      <c r="G135" t="s">
        <v>13</v>
      </c>
      <c r="H135" t="s">
        <v>13</v>
      </c>
      <c r="I135" t="s">
        <v>14</v>
      </c>
      <c r="J135" t="s">
        <v>27</v>
      </c>
      <c r="K135" t="s">
        <v>21</v>
      </c>
      <c r="L135" t="s">
        <v>17</v>
      </c>
    </row>
    <row r="136" spans="1:12" x14ac:dyDescent="0.25">
      <c r="A136" t="s">
        <v>293</v>
      </c>
      <c r="B136">
        <v>5</v>
      </c>
      <c r="C136" s="1">
        <v>44599</v>
      </c>
      <c r="D136" s="2">
        <v>0.95208333333333339</v>
      </c>
      <c r="E136" t="s">
        <v>294</v>
      </c>
      <c r="F136" t="s">
        <v>36</v>
      </c>
      <c r="G136" t="s">
        <v>36</v>
      </c>
      <c r="H136" t="s">
        <v>36</v>
      </c>
      <c r="I136" t="s">
        <v>13</v>
      </c>
      <c r="J136" t="s">
        <v>27</v>
      </c>
      <c r="K136" t="s">
        <v>28</v>
      </c>
      <c r="L136" t="s">
        <v>17</v>
      </c>
    </row>
    <row r="137" spans="1:12" x14ac:dyDescent="0.25">
      <c r="A137" t="s">
        <v>295</v>
      </c>
      <c r="B137">
        <v>1</v>
      </c>
      <c r="C137" s="1">
        <v>44599</v>
      </c>
      <c r="D137" s="2">
        <v>0.93958333333333333</v>
      </c>
      <c r="E137" t="s">
        <v>296</v>
      </c>
      <c r="F137" t="s">
        <v>13</v>
      </c>
      <c r="G137" t="s">
        <v>13</v>
      </c>
      <c r="H137" t="s">
        <v>13</v>
      </c>
      <c r="I137" t="s">
        <v>14</v>
      </c>
      <c r="J137" t="s">
        <v>27</v>
      </c>
      <c r="K137" t="s">
        <v>21</v>
      </c>
      <c r="L137" t="s">
        <v>17</v>
      </c>
    </row>
    <row r="138" spans="1:12" x14ac:dyDescent="0.25">
      <c r="A138" t="s">
        <v>297</v>
      </c>
      <c r="B138">
        <v>3</v>
      </c>
      <c r="C138" s="1">
        <v>44599</v>
      </c>
      <c r="D138" s="2">
        <v>0.84166666666666667</v>
      </c>
      <c r="E138" t="s">
        <v>298</v>
      </c>
      <c r="F138" t="s">
        <v>36</v>
      </c>
      <c r="G138" t="s">
        <v>36</v>
      </c>
      <c r="H138" t="s">
        <v>36</v>
      </c>
      <c r="I138" t="s">
        <v>13</v>
      </c>
      <c r="J138" t="s">
        <v>27</v>
      </c>
      <c r="K138" t="s">
        <v>21</v>
      </c>
      <c r="L138" t="s">
        <v>17</v>
      </c>
    </row>
    <row r="139" spans="1:12" x14ac:dyDescent="0.25">
      <c r="A139" t="s">
        <v>299</v>
      </c>
      <c r="B139">
        <v>1</v>
      </c>
      <c r="C139" s="1">
        <v>44599</v>
      </c>
      <c r="D139" s="2">
        <v>0.76874999999999993</v>
      </c>
      <c r="E139" t="s">
        <v>300</v>
      </c>
      <c r="F139" t="s">
        <v>13</v>
      </c>
      <c r="G139" t="s">
        <v>13</v>
      </c>
      <c r="H139" t="s">
        <v>13</v>
      </c>
      <c r="I139" t="s">
        <v>14</v>
      </c>
      <c r="J139" t="s">
        <v>27</v>
      </c>
      <c r="K139" t="s">
        <v>16</v>
      </c>
      <c r="L139" t="s">
        <v>17</v>
      </c>
    </row>
    <row r="140" spans="1:12" x14ac:dyDescent="0.25">
      <c r="A140" t="s">
        <v>301</v>
      </c>
      <c r="B140">
        <v>1</v>
      </c>
      <c r="C140" s="1">
        <v>44599</v>
      </c>
      <c r="D140" s="2">
        <v>0.73611111111111116</v>
      </c>
      <c r="E140" t="s">
        <v>302</v>
      </c>
      <c r="F140" t="s">
        <v>13</v>
      </c>
      <c r="G140" t="s">
        <v>13</v>
      </c>
      <c r="H140" t="s">
        <v>13</v>
      </c>
      <c r="I140" t="s">
        <v>14</v>
      </c>
      <c r="J140" t="s">
        <v>27</v>
      </c>
      <c r="K140" t="s">
        <v>21</v>
      </c>
      <c r="L140" t="s">
        <v>17</v>
      </c>
    </row>
    <row r="141" spans="1:12" x14ac:dyDescent="0.25">
      <c r="A141" t="s">
        <v>303</v>
      </c>
      <c r="B141">
        <v>3</v>
      </c>
      <c r="C141" s="1">
        <v>44599</v>
      </c>
      <c r="D141" s="2">
        <v>0.66111111111111109</v>
      </c>
      <c r="E141" t="s">
        <v>304</v>
      </c>
      <c r="F141" t="s">
        <v>36</v>
      </c>
      <c r="G141" t="s">
        <v>36</v>
      </c>
      <c r="H141" t="s">
        <v>36</v>
      </c>
      <c r="I141" t="s">
        <v>13</v>
      </c>
      <c r="J141" t="s">
        <v>27</v>
      </c>
      <c r="K141" t="s">
        <v>21</v>
      </c>
      <c r="L141" t="s">
        <v>17</v>
      </c>
    </row>
    <row r="142" spans="1:12" x14ac:dyDescent="0.25">
      <c r="A142" t="s">
        <v>305</v>
      </c>
      <c r="B142">
        <v>1</v>
      </c>
      <c r="C142" s="1">
        <v>44599</v>
      </c>
      <c r="D142" s="2">
        <v>0.65069444444444446</v>
      </c>
      <c r="E142" t="s">
        <v>306</v>
      </c>
      <c r="F142" t="s">
        <v>13</v>
      </c>
      <c r="G142" t="s">
        <v>13</v>
      </c>
      <c r="H142" t="s">
        <v>13</v>
      </c>
      <c r="I142" t="s">
        <v>14</v>
      </c>
      <c r="J142" t="s">
        <v>27</v>
      </c>
      <c r="K142" t="s">
        <v>21</v>
      </c>
      <c r="L142" t="s">
        <v>17</v>
      </c>
    </row>
    <row r="143" spans="1:12" x14ac:dyDescent="0.25">
      <c r="A143" t="s">
        <v>307</v>
      </c>
      <c r="B143">
        <v>1</v>
      </c>
      <c r="C143" s="1">
        <v>44599</v>
      </c>
      <c r="D143" s="2">
        <v>0.59652777777777777</v>
      </c>
      <c r="E143" t="s">
        <v>308</v>
      </c>
      <c r="F143" t="s">
        <v>13</v>
      </c>
      <c r="G143" t="s">
        <v>13</v>
      </c>
      <c r="H143" t="s">
        <v>13</v>
      </c>
      <c r="I143" t="s">
        <v>14</v>
      </c>
      <c r="J143" t="s">
        <v>27</v>
      </c>
      <c r="K143" t="s">
        <v>21</v>
      </c>
      <c r="L143" t="s">
        <v>17</v>
      </c>
    </row>
    <row r="144" spans="1:12" x14ac:dyDescent="0.25">
      <c r="A144" t="s">
        <v>309</v>
      </c>
      <c r="B144">
        <v>3</v>
      </c>
      <c r="C144" s="1">
        <v>44599</v>
      </c>
      <c r="D144" s="2">
        <v>0.59027777777777779</v>
      </c>
      <c r="E144" t="s">
        <v>310</v>
      </c>
      <c r="F144" t="s">
        <v>31</v>
      </c>
      <c r="G144" t="s">
        <v>31</v>
      </c>
      <c r="H144" t="s">
        <v>31</v>
      </c>
      <c r="I144" t="s">
        <v>32</v>
      </c>
      <c r="J144" t="s">
        <v>27</v>
      </c>
      <c r="K144" t="s">
        <v>21</v>
      </c>
      <c r="L144" t="s">
        <v>33</v>
      </c>
    </row>
    <row r="145" spans="1:12" x14ac:dyDescent="0.25">
      <c r="A145" t="s">
        <v>311</v>
      </c>
      <c r="B145">
        <v>2</v>
      </c>
      <c r="C145" s="1">
        <v>44599</v>
      </c>
      <c r="D145" s="2">
        <v>0.57777777777777783</v>
      </c>
      <c r="E145" t="s">
        <v>312</v>
      </c>
      <c r="F145" t="s">
        <v>13</v>
      </c>
      <c r="G145" t="s">
        <v>13</v>
      </c>
      <c r="H145" t="s">
        <v>13</v>
      </c>
      <c r="I145" t="s">
        <v>14</v>
      </c>
      <c r="J145" t="s">
        <v>27</v>
      </c>
      <c r="K145" t="s">
        <v>21</v>
      </c>
      <c r="L145" t="s">
        <v>17</v>
      </c>
    </row>
    <row r="146" spans="1:12" x14ac:dyDescent="0.25">
      <c r="A146" t="s">
        <v>313</v>
      </c>
      <c r="B146">
        <v>5</v>
      </c>
      <c r="C146" s="1">
        <v>44599</v>
      </c>
      <c r="D146" s="2">
        <v>0.56666666666666665</v>
      </c>
      <c r="E146" t="s">
        <v>314</v>
      </c>
      <c r="F146" t="s">
        <v>36</v>
      </c>
      <c r="G146" t="s">
        <v>36</v>
      </c>
      <c r="H146" t="s">
        <v>36</v>
      </c>
      <c r="I146" t="s">
        <v>13</v>
      </c>
      <c r="J146" t="s">
        <v>27</v>
      </c>
      <c r="K146" t="s">
        <v>21</v>
      </c>
      <c r="L146" t="s">
        <v>17</v>
      </c>
    </row>
    <row r="147" spans="1:12" x14ac:dyDescent="0.25">
      <c r="A147" t="s">
        <v>315</v>
      </c>
      <c r="B147">
        <v>1</v>
      </c>
      <c r="C147" s="1">
        <v>44599</v>
      </c>
      <c r="D147" s="2">
        <v>0.55833333333333335</v>
      </c>
      <c r="E147" t="s">
        <v>316</v>
      </c>
      <c r="F147" t="s">
        <v>31</v>
      </c>
      <c r="G147" t="s">
        <v>31</v>
      </c>
      <c r="H147" t="s">
        <v>31</v>
      </c>
      <c r="I147" t="s">
        <v>32</v>
      </c>
      <c r="J147" t="s">
        <v>27</v>
      </c>
      <c r="K147" t="s">
        <v>21</v>
      </c>
      <c r="L147" t="s">
        <v>33</v>
      </c>
    </row>
    <row r="148" spans="1:12" x14ac:dyDescent="0.25">
      <c r="A148" t="s">
        <v>317</v>
      </c>
      <c r="B148">
        <v>1</v>
      </c>
      <c r="C148" s="1">
        <v>44599</v>
      </c>
      <c r="D148" s="2">
        <v>0.54722222222222217</v>
      </c>
      <c r="E148" t="s">
        <v>318</v>
      </c>
      <c r="F148" t="s">
        <v>13</v>
      </c>
      <c r="G148" t="s">
        <v>13</v>
      </c>
      <c r="H148" t="s">
        <v>13</v>
      </c>
      <c r="I148" t="s">
        <v>14</v>
      </c>
      <c r="J148" t="s">
        <v>27</v>
      </c>
      <c r="K148" t="s">
        <v>21</v>
      </c>
      <c r="L148" t="s">
        <v>17</v>
      </c>
    </row>
    <row r="149" spans="1:12" x14ac:dyDescent="0.25">
      <c r="A149" t="s">
        <v>319</v>
      </c>
      <c r="B149">
        <v>4</v>
      </c>
      <c r="C149" s="1">
        <v>44599</v>
      </c>
      <c r="D149" s="2">
        <v>0.54305555555555551</v>
      </c>
      <c r="E149" t="s">
        <v>320</v>
      </c>
      <c r="F149" t="s">
        <v>36</v>
      </c>
      <c r="G149" t="s">
        <v>36</v>
      </c>
      <c r="H149" t="s">
        <v>36</v>
      </c>
      <c r="I149" t="s">
        <v>13</v>
      </c>
      <c r="J149" t="s">
        <v>27</v>
      </c>
      <c r="K149" t="s">
        <v>21</v>
      </c>
      <c r="L149" t="s">
        <v>17</v>
      </c>
    </row>
    <row r="150" spans="1:12" x14ac:dyDescent="0.25">
      <c r="A150" t="s">
        <v>321</v>
      </c>
      <c r="B150">
        <v>1</v>
      </c>
      <c r="C150" s="1">
        <v>44599</v>
      </c>
      <c r="D150" s="2">
        <v>0.53749999999999998</v>
      </c>
      <c r="E150" t="s">
        <v>322</v>
      </c>
      <c r="F150" t="s">
        <v>13</v>
      </c>
      <c r="G150" t="s">
        <v>13</v>
      </c>
      <c r="H150" t="s">
        <v>13</v>
      </c>
      <c r="I150" t="s">
        <v>14</v>
      </c>
      <c r="J150" t="s">
        <v>27</v>
      </c>
      <c r="K150" t="s">
        <v>16</v>
      </c>
      <c r="L150" t="s">
        <v>17</v>
      </c>
    </row>
    <row r="151" spans="1:12" x14ac:dyDescent="0.25">
      <c r="A151" t="s">
        <v>323</v>
      </c>
      <c r="B151">
        <v>5</v>
      </c>
      <c r="C151" s="1">
        <v>44599</v>
      </c>
      <c r="D151" s="2">
        <v>0.52986111111111112</v>
      </c>
      <c r="E151" t="s">
        <v>324</v>
      </c>
      <c r="F151" t="s">
        <v>36</v>
      </c>
      <c r="G151" t="s">
        <v>36</v>
      </c>
      <c r="H151" t="s">
        <v>36</v>
      </c>
      <c r="I151" t="s">
        <v>13</v>
      </c>
      <c r="J151" t="s">
        <v>27</v>
      </c>
      <c r="K151" t="s">
        <v>21</v>
      </c>
      <c r="L151" t="s">
        <v>17</v>
      </c>
    </row>
    <row r="152" spans="1:12" x14ac:dyDescent="0.25">
      <c r="A152" t="s">
        <v>325</v>
      </c>
      <c r="B152">
        <v>5</v>
      </c>
      <c r="C152" s="1">
        <v>44599</v>
      </c>
      <c r="D152" s="2">
        <v>0.52361111111111114</v>
      </c>
      <c r="E152" t="s">
        <v>326</v>
      </c>
      <c r="F152" t="s">
        <v>36</v>
      </c>
      <c r="G152" t="s">
        <v>36</v>
      </c>
      <c r="H152" t="s">
        <v>36</v>
      </c>
      <c r="I152" t="s">
        <v>13</v>
      </c>
      <c r="J152" t="s">
        <v>27</v>
      </c>
      <c r="K152" t="s">
        <v>21</v>
      </c>
      <c r="L152" t="s">
        <v>17</v>
      </c>
    </row>
    <row r="153" spans="1:12" x14ac:dyDescent="0.25">
      <c r="A153" t="s">
        <v>327</v>
      </c>
      <c r="B153">
        <v>1</v>
      </c>
      <c r="C153" s="1">
        <v>44599</v>
      </c>
      <c r="D153" s="2">
        <v>0.50138888888888888</v>
      </c>
      <c r="E153" t="s">
        <v>328</v>
      </c>
      <c r="F153" t="s">
        <v>13</v>
      </c>
      <c r="G153" t="s">
        <v>13</v>
      </c>
      <c r="H153" t="s">
        <v>13</v>
      </c>
      <c r="I153" t="s">
        <v>14</v>
      </c>
      <c r="J153" t="s">
        <v>27</v>
      </c>
      <c r="K153" t="s">
        <v>28</v>
      </c>
      <c r="L153" t="s">
        <v>17</v>
      </c>
    </row>
    <row r="154" spans="1:12" x14ac:dyDescent="0.25">
      <c r="A154" t="s">
        <v>329</v>
      </c>
      <c r="B154">
        <v>1</v>
      </c>
      <c r="C154" s="1">
        <v>44599</v>
      </c>
      <c r="D154" s="2">
        <v>0.47291666666666665</v>
      </c>
      <c r="E154" t="s">
        <v>330</v>
      </c>
      <c r="F154" t="s">
        <v>13</v>
      </c>
      <c r="G154" t="s">
        <v>13</v>
      </c>
      <c r="H154" t="s">
        <v>13</v>
      </c>
      <c r="I154" t="s">
        <v>14</v>
      </c>
      <c r="J154" t="s">
        <v>27</v>
      </c>
      <c r="K154" t="s">
        <v>21</v>
      </c>
      <c r="L154" t="s">
        <v>17</v>
      </c>
    </row>
    <row r="155" spans="1:12" x14ac:dyDescent="0.25">
      <c r="A155" t="s">
        <v>331</v>
      </c>
      <c r="B155">
        <v>5</v>
      </c>
      <c r="C155" s="1">
        <v>44599</v>
      </c>
      <c r="D155" s="2">
        <v>0.4375</v>
      </c>
      <c r="E155" t="s">
        <v>332</v>
      </c>
      <c r="F155" t="s">
        <v>36</v>
      </c>
      <c r="G155" t="s">
        <v>36</v>
      </c>
      <c r="H155" t="s">
        <v>36</v>
      </c>
      <c r="I155" t="s">
        <v>13</v>
      </c>
      <c r="J155" t="s">
        <v>27</v>
      </c>
      <c r="K155" t="s">
        <v>21</v>
      </c>
      <c r="L155" t="s">
        <v>17</v>
      </c>
    </row>
    <row r="156" spans="1:12" x14ac:dyDescent="0.25">
      <c r="A156" t="s">
        <v>333</v>
      </c>
      <c r="B156">
        <v>5</v>
      </c>
      <c r="C156" s="1">
        <v>44599</v>
      </c>
      <c r="D156" s="2">
        <v>0.43263888888888885</v>
      </c>
      <c r="E156" t="s">
        <v>334</v>
      </c>
      <c r="F156" t="s">
        <v>36</v>
      </c>
      <c r="G156" t="s">
        <v>36</v>
      </c>
      <c r="H156" t="s">
        <v>36</v>
      </c>
      <c r="I156" t="s">
        <v>13</v>
      </c>
      <c r="J156" t="s">
        <v>27</v>
      </c>
      <c r="K156" t="s">
        <v>21</v>
      </c>
      <c r="L156" t="s">
        <v>17</v>
      </c>
    </row>
    <row r="157" spans="1:12" x14ac:dyDescent="0.25">
      <c r="A157" t="s">
        <v>335</v>
      </c>
      <c r="B157">
        <v>1</v>
      </c>
      <c r="C157" s="1">
        <v>44599</v>
      </c>
      <c r="D157" s="2">
        <v>4.027777777777778E-2</v>
      </c>
      <c r="E157" t="s">
        <v>336</v>
      </c>
      <c r="F157" t="s">
        <v>13</v>
      </c>
      <c r="G157" t="s">
        <v>13</v>
      </c>
      <c r="H157" t="s">
        <v>13</v>
      </c>
      <c r="I157" t="s">
        <v>14</v>
      </c>
      <c r="J157" t="s">
        <v>27</v>
      </c>
      <c r="K157" t="s">
        <v>21</v>
      </c>
      <c r="L157" t="s">
        <v>17</v>
      </c>
    </row>
    <row r="158" spans="1:12" x14ac:dyDescent="0.25">
      <c r="A158" t="s">
        <v>337</v>
      </c>
      <c r="B158">
        <v>3</v>
      </c>
      <c r="C158" s="1">
        <v>44599</v>
      </c>
      <c r="D158" s="2">
        <v>1.6666666666666666E-2</v>
      </c>
      <c r="E158" t="s">
        <v>338</v>
      </c>
      <c r="F158" t="s">
        <v>31</v>
      </c>
      <c r="G158" t="s">
        <v>31</v>
      </c>
      <c r="H158" t="s">
        <v>31</v>
      </c>
      <c r="I158" t="s">
        <v>32</v>
      </c>
      <c r="J158" t="s">
        <v>27</v>
      </c>
      <c r="K158" t="s">
        <v>21</v>
      </c>
      <c r="L158" t="s">
        <v>33</v>
      </c>
    </row>
    <row r="159" spans="1:12" x14ac:dyDescent="0.25">
      <c r="A159" t="s">
        <v>339</v>
      </c>
      <c r="B159">
        <v>5</v>
      </c>
      <c r="C159" s="1">
        <v>44599</v>
      </c>
      <c r="D159" s="2">
        <v>1.4583333333333332E-2</v>
      </c>
      <c r="E159" t="s">
        <v>340</v>
      </c>
      <c r="F159" t="s">
        <v>31</v>
      </c>
      <c r="G159" t="s">
        <v>31</v>
      </c>
      <c r="H159" t="s">
        <v>31</v>
      </c>
      <c r="I159" t="s">
        <v>32</v>
      </c>
      <c r="J159" t="s">
        <v>27</v>
      </c>
      <c r="K159" t="s">
        <v>21</v>
      </c>
      <c r="L159" t="s">
        <v>33</v>
      </c>
    </row>
    <row r="160" spans="1:12" x14ac:dyDescent="0.25">
      <c r="A160" t="s">
        <v>341</v>
      </c>
      <c r="B160">
        <v>5</v>
      </c>
      <c r="C160" s="1">
        <v>44598</v>
      </c>
      <c r="D160" s="2">
        <v>0.35833333333333334</v>
      </c>
      <c r="E160" t="s">
        <v>342</v>
      </c>
      <c r="F160" t="s">
        <v>36</v>
      </c>
      <c r="G160" t="s">
        <v>36</v>
      </c>
      <c r="H160" t="s">
        <v>36</v>
      </c>
      <c r="I160" t="s">
        <v>13</v>
      </c>
      <c r="J160" t="s">
        <v>27</v>
      </c>
      <c r="K160" t="s">
        <v>21</v>
      </c>
      <c r="L160" t="s">
        <v>17</v>
      </c>
    </row>
    <row r="161" spans="1:12" x14ac:dyDescent="0.25">
      <c r="A161" t="s">
        <v>343</v>
      </c>
      <c r="B161">
        <v>2</v>
      </c>
      <c r="C161" s="1">
        <v>44598</v>
      </c>
      <c r="D161" s="2">
        <v>0.31666666666666665</v>
      </c>
      <c r="E161" t="s">
        <v>344</v>
      </c>
      <c r="F161" t="s">
        <v>13</v>
      </c>
      <c r="G161" t="s">
        <v>13</v>
      </c>
      <c r="H161" t="s">
        <v>13</v>
      </c>
      <c r="I161" t="s">
        <v>14</v>
      </c>
      <c r="J161" t="s">
        <v>27</v>
      </c>
      <c r="K161" t="s">
        <v>21</v>
      </c>
      <c r="L161" t="s">
        <v>17</v>
      </c>
    </row>
    <row r="162" spans="1:12" x14ac:dyDescent="0.25">
      <c r="A162" t="s">
        <v>345</v>
      </c>
      <c r="B162">
        <v>2</v>
      </c>
      <c r="C162" s="1">
        <v>44598</v>
      </c>
      <c r="D162" s="2">
        <v>0.28125</v>
      </c>
      <c r="E162" t="s">
        <v>346</v>
      </c>
      <c r="F162" t="s">
        <v>13</v>
      </c>
      <c r="G162" t="s">
        <v>13</v>
      </c>
      <c r="H162" t="s">
        <v>13</v>
      </c>
      <c r="I162" t="s">
        <v>14</v>
      </c>
      <c r="J162" t="s">
        <v>27</v>
      </c>
      <c r="K162" t="s">
        <v>21</v>
      </c>
      <c r="L162" t="s">
        <v>17</v>
      </c>
    </row>
    <row r="163" spans="1:12" x14ac:dyDescent="0.25">
      <c r="A163" t="s">
        <v>347</v>
      </c>
      <c r="B163">
        <v>1</v>
      </c>
      <c r="C163" s="1">
        <v>44598</v>
      </c>
      <c r="D163" s="2">
        <v>0.18194444444444444</v>
      </c>
      <c r="E163" t="s">
        <v>348</v>
      </c>
      <c r="F163" t="s">
        <v>13</v>
      </c>
      <c r="G163" t="s">
        <v>13</v>
      </c>
      <c r="H163" t="s">
        <v>13</v>
      </c>
      <c r="I163" t="s">
        <v>14</v>
      </c>
      <c r="J163" t="s">
        <v>27</v>
      </c>
      <c r="K163" t="s">
        <v>21</v>
      </c>
      <c r="L163" t="s">
        <v>17</v>
      </c>
    </row>
    <row r="164" spans="1:12" x14ac:dyDescent="0.25">
      <c r="A164" t="s">
        <v>349</v>
      </c>
      <c r="B164">
        <v>5</v>
      </c>
      <c r="C164" s="1">
        <v>44598</v>
      </c>
      <c r="D164" s="2">
        <v>0.15763888888888888</v>
      </c>
      <c r="E164" t="s">
        <v>350</v>
      </c>
      <c r="F164" t="s">
        <v>13</v>
      </c>
      <c r="G164" t="s">
        <v>13</v>
      </c>
      <c r="H164" t="s">
        <v>13</v>
      </c>
      <c r="I164" t="s">
        <v>14</v>
      </c>
      <c r="J164" t="s">
        <v>27</v>
      </c>
      <c r="K164" t="s">
        <v>21</v>
      </c>
      <c r="L164" t="s">
        <v>17</v>
      </c>
    </row>
    <row r="165" spans="1:12" x14ac:dyDescent="0.25">
      <c r="A165" t="s">
        <v>351</v>
      </c>
      <c r="B165">
        <v>5</v>
      </c>
      <c r="C165" s="1">
        <v>44598</v>
      </c>
      <c r="D165" s="2">
        <v>0.15069444444444444</v>
      </c>
      <c r="E165" t="s">
        <v>352</v>
      </c>
      <c r="F165" t="s">
        <v>31</v>
      </c>
      <c r="G165" t="s">
        <v>31</v>
      </c>
      <c r="H165" t="s">
        <v>31</v>
      </c>
      <c r="I165" t="s">
        <v>32</v>
      </c>
      <c r="J165" t="s">
        <v>27</v>
      </c>
      <c r="K165" t="s">
        <v>21</v>
      </c>
      <c r="L165" t="s">
        <v>33</v>
      </c>
    </row>
    <row r="166" spans="1:12" x14ac:dyDescent="0.25">
      <c r="A166" t="s">
        <v>353</v>
      </c>
      <c r="B166">
        <v>1</v>
      </c>
      <c r="C166" s="1">
        <v>44598</v>
      </c>
      <c r="D166" s="2">
        <v>0.13125000000000001</v>
      </c>
      <c r="E166" t="s">
        <v>354</v>
      </c>
      <c r="F166" t="s">
        <v>13</v>
      </c>
      <c r="G166" t="s">
        <v>13</v>
      </c>
      <c r="H166" t="s">
        <v>13</v>
      </c>
      <c r="I166" t="s">
        <v>14</v>
      </c>
      <c r="J166" t="s">
        <v>27</v>
      </c>
      <c r="K166" t="s">
        <v>21</v>
      </c>
      <c r="L166" t="s">
        <v>17</v>
      </c>
    </row>
    <row r="167" spans="1:12" x14ac:dyDescent="0.25">
      <c r="A167" t="s">
        <v>355</v>
      </c>
      <c r="B167">
        <v>2</v>
      </c>
      <c r="C167" s="1">
        <v>44598</v>
      </c>
      <c r="D167" s="2">
        <v>0.9868055555555556</v>
      </c>
      <c r="E167" t="s">
        <v>356</v>
      </c>
      <c r="F167" t="s">
        <v>31</v>
      </c>
      <c r="G167" t="s">
        <v>31</v>
      </c>
      <c r="H167" t="s">
        <v>31</v>
      </c>
      <c r="I167" t="s">
        <v>32</v>
      </c>
      <c r="J167" t="s">
        <v>27</v>
      </c>
      <c r="K167" t="s">
        <v>16</v>
      </c>
      <c r="L167" t="s">
        <v>33</v>
      </c>
    </row>
    <row r="168" spans="1:12" x14ac:dyDescent="0.25">
      <c r="A168" t="s">
        <v>357</v>
      </c>
      <c r="B168">
        <v>1</v>
      </c>
      <c r="C168" s="1">
        <v>44598</v>
      </c>
      <c r="D168" s="2">
        <v>8.2638888888888887E-2</v>
      </c>
      <c r="E168" t="s">
        <v>358</v>
      </c>
      <c r="F168" t="s">
        <v>13</v>
      </c>
      <c r="G168" t="s">
        <v>13</v>
      </c>
      <c r="H168" t="s">
        <v>13</v>
      </c>
      <c r="I168" t="s">
        <v>14</v>
      </c>
      <c r="J168" t="s">
        <v>27</v>
      </c>
      <c r="K168" t="s">
        <v>21</v>
      </c>
      <c r="L168" t="s">
        <v>17</v>
      </c>
    </row>
    <row r="169" spans="1:12" x14ac:dyDescent="0.25">
      <c r="A169" t="s">
        <v>359</v>
      </c>
      <c r="B169">
        <v>5</v>
      </c>
      <c r="C169" s="1">
        <v>44598</v>
      </c>
      <c r="D169" s="2">
        <v>6.3194444444444442E-2</v>
      </c>
      <c r="E169" t="s">
        <v>360</v>
      </c>
      <c r="F169" t="s">
        <v>36</v>
      </c>
      <c r="G169" t="s">
        <v>36</v>
      </c>
      <c r="H169" t="s">
        <v>36</v>
      </c>
      <c r="I169" t="s">
        <v>13</v>
      </c>
      <c r="J169" t="s">
        <v>27</v>
      </c>
      <c r="K169" t="s">
        <v>21</v>
      </c>
      <c r="L169" t="s">
        <v>17</v>
      </c>
    </row>
    <row r="170" spans="1:12" x14ac:dyDescent="0.25">
      <c r="A170" t="s">
        <v>361</v>
      </c>
      <c r="B170">
        <v>1</v>
      </c>
      <c r="C170" s="1">
        <v>44598</v>
      </c>
      <c r="D170" s="2">
        <v>4.1666666666666664E-2</v>
      </c>
      <c r="E170" t="s">
        <v>362</v>
      </c>
      <c r="F170" t="s">
        <v>13</v>
      </c>
      <c r="G170" t="s">
        <v>13</v>
      </c>
      <c r="H170" t="s">
        <v>13</v>
      </c>
      <c r="I170" t="s">
        <v>14</v>
      </c>
      <c r="J170" t="s">
        <v>27</v>
      </c>
      <c r="K170" t="s">
        <v>21</v>
      </c>
      <c r="L170" t="s">
        <v>17</v>
      </c>
    </row>
    <row r="171" spans="1:12" x14ac:dyDescent="0.25">
      <c r="A171" t="s">
        <v>363</v>
      </c>
      <c r="B171">
        <v>1</v>
      </c>
      <c r="C171" s="1">
        <v>44598</v>
      </c>
      <c r="D171" s="2">
        <v>0.7284722222222223</v>
      </c>
      <c r="E171" t="s">
        <v>364</v>
      </c>
      <c r="F171" t="s">
        <v>13</v>
      </c>
      <c r="G171" t="s">
        <v>13</v>
      </c>
      <c r="H171" t="s">
        <v>13</v>
      </c>
      <c r="I171" t="s">
        <v>14</v>
      </c>
      <c r="J171" t="s">
        <v>27</v>
      </c>
      <c r="K171" t="s">
        <v>21</v>
      </c>
      <c r="L171" t="s">
        <v>17</v>
      </c>
    </row>
    <row r="172" spans="1:12" x14ac:dyDescent="0.25">
      <c r="A172" t="s">
        <v>365</v>
      </c>
      <c r="B172">
        <v>1</v>
      </c>
      <c r="C172" s="1">
        <v>44598</v>
      </c>
      <c r="D172" s="2">
        <v>0.65486111111111112</v>
      </c>
      <c r="E172" t="s">
        <v>366</v>
      </c>
      <c r="F172" t="s">
        <v>13</v>
      </c>
      <c r="G172" t="s">
        <v>13</v>
      </c>
      <c r="H172" t="s">
        <v>13</v>
      </c>
      <c r="I172" t="s">
        <v>14</v>
      </c>
      <c r="J172" t="s">
        <v>27</v>
      </c>
      <c r="K172" t="s">
        <v>21</v>
      </c>
      <c r="L172" t="s">
        <v>17</v>
      </c>
    </row>
    <row r="173" spans="1:12" x14ac:dyDescent="0.25">
      <c r="A173" t="s">
        <v>367</v>
      </c>
      <c r="B173">
        <v>4</v>
      </c>
      <c r="C173" s="1">
        <v>44598</v>
      </c>
      <c r="D173" s="2">
        <v>0.61319444444444449</v>
      </c>
      <c r="E173" t="s">
        <v>368</v>
      </c>
      <c r="F173" t="s">
        <v>36</v>
      </c>
      <c r="G173" t="s">
        <v>36</v>
      </c>
      <c r="H173" t="s">
        <v>36</v>
      </c>
      <c r="I173" t="s">
        <v>13</v>
      </c>
      <c r="J173" t="s">
        <v>27</v>
      </c>
      <c r="K173" t="s">
        <v>21</v>
      </c>
      <c r="L173" t="s">
        <v>17</v>
      </c>
    </row>
    <row r="174" spans="1:12" x14ac:dyDescent="0.25">
      <c r="A174" t="s">
        <v>369</v>
      </c>
      <c r="B174">
        <v>1</v>
      </c>
      <c r="C174" s="1">
        <v>44598</v>
      </c>
      <c r="D174" s="2">
        <v>0.61319444444444449</v>
      </c>
      <c r="E174" t="s">
        <v>370</v>
      </c>
      <c r="F174" t="s">
        <v>13</v>
      </c>
      <c r="G174" t="s">
        <v>13</v>
      </c>
      <c r="H174" t="s">
        <v>13</v>
      </c>
      <c r="I174" t="s">
        <v>14</v>
      </c>
      <c r="J174" t="s">
        <v>27</v>
      </c>
      <c r="K174" t="s">
        <v>21</v>
      </c>
      <c r="L174" t="s">
        <v>17</v>
      </c>
    </row>
    <row r="175" spans="1:12" x14ac:dyDescent="0.25">
      <c r="A175" t="s">
        <v>371</v>
      </c>
      <c r="B175">
        <v>4</v>
      </c>
      <c r="C175" s="1">
        <v>44598</v>
      </c>
      <c r="D175" s="2">
        <v>0.6069444444444444</v>
      </c>
      <c r="E175" t="s">
        <v>372</v>
      </c>
      <c r="F175" t="s">
        <v>31</v>
      </c>
      <c r="G175" t="s">
        <v>31</v>
      </c>
      <c r="H175" t="s">
        <v>31</v>
      </c>
      <c r="I175" t="s">
        <v>32</v>
      </c>
      <c r="J175" t="s">
        <v>27</v>
      </c>
      <c r="K175" t="s">
        <v>21</v>
      </c>
      <c r="L175" t="s">
        <v>33</v>
      </c>
    </row>
    <row r="176" spans="1:12" x14ac:dyDescent="0.25">
      <c r="A176" t="s">
        <v>373</v>
      </c>
      <c r="B176">
        <v>4</v>
      </c>
      <c r="C176" s="1">
        <v>44598</v>
      </c>
      <c r="D176" s="2">
        <v>0.60555555555555551</v>
      </c>
      <c r="E176" t="s">
        <v>374</v>
      </c>
      <c r="F176" t="s">
        <v>31</v>
      </c>
      <c r="G176" t="s">
        <v>31</v>
      </c>
      <c r="H176" t="s">
        <v>31</v>
      </c>
      <c r="I176" t="s">
        <v>32</v>
      </c>
      <c r="J176" t="s">
        <v>27</v>
      </c>
      <c r="K176" t="s">
        <v>21</v>
      </c>
      <c r="L176" t="s">
        <v>33</v>
      </c>
    </row>
    <row r="177" spans="1:12" x14ac:dyDescent="0.25">
      <c r="A177" t="s">
        <v>375</v>
      </c>
      <c r="B177">
        <v>4</v>
      </c>
      <c r="C177" s="1">
        <v>44598</v>
      </c>
      <c r="D177" s="2">
        <v>0.6</v>
      </c>
      <c r="E177" t="s">
        <v>376</v>
      </c>
      <c r="F177" t="s">
        <v>31</v>
      </c>
      <c r="G177" t="s">
        <v>31</v>
      </c>
      <c r="H177" t="s">
        <v>31</v>
      </c>
      <c r="I177" t="s">
        <v>32</v>
      </c>
      <c r="J177" t="s">
        <v>27</v>
      </c>
      <c r="K177" t="s">
        <v>21</v>
      </c>
      <c r="L177" t="s">
        <v>33</v>
      </c>
    </row>
    <row r="178" spans="1:12" x14ac:dyDescent="0.25">
      <c r="A178" t="s">
        <v>377</v>
      </c>
      <c r="B178">
        <v>1</v>
      </c>
      <c r="C178" s="1">
        <v>44598</v>
      </c>
      <c r="D178" s="2">
        <v>0.59722222222222221</v>
      </c>
      <c r="E178" t="s">
        <v>378</v>
      </c>
      <c r="F178" t="s">
        <v>13</v>
      </c>
      <c r="G178" t="s">
        <v>13</v>
      </c>
      <c r="H178" t="s">
        <v>13</v>
      </c>
      <c r="I178" t="s">
        <v>14</v>
      </c>
      <c r="J178" t="s">
        <v>27</v>
      </c>
      <c r="K178" t="s">
        <v>21</v>
      </c>
      <c r="L178" t="s">
        <v>17</v>
      </c>
    </row>
    <row r="179" spans="1:12" x14ac:dyDescent="0.25">
      <c r="A179" t="s">
        <v>379</v>
      </c>
      <c r="B179">
        <v>1</v>
      </c>
      <c r="C179" s="1">
        <v>44598</v>
      </c>
      <c r="D179" s="2">
        <v>0.59444444444444444</v>
      </c>
      <c r="E179" t="s">
        <v>380</v>
      </c>
      <c r="F179" t="s">
        <v>13</v>
      </c>
      <c r="G179" t="s">
        <v>13</v>
      </c>
      <c r="H179" t="s">
        <v>13</v>
      </c>
      <c r="I179" t="s">
        <v>14</v>
      </c>
      <c r="J179" t="s">
        <v>27</v>
      </c>
      <c r="K179" t="s">
        <v>16</v>
      </c>
      <c r="L179" t="s">
        <v>17</v>
      </c>
    </row>
    <row r="180" spans="1:12" x14ac:dyDescent="0.25">
      <c r="A180" t="s">
        <v>381</v>
      </c>
      <c r="B180">
        <v>1</v>
      </c>
      <c r="C180" s="1">
        <v>44598</v>
      </c>
      <c r="D180" s="2">
        <v>0.56458333333333333</v>
      </c>
      <c r="E180" t="s">
        <v>382</v>
      </c>
      <c r="F180" t="s">
        <v>13</v>
      </c>
      <c r="G180" t="s">
        <v>13</v>
      </c>
      <c r="H180" t="s">
        <v>13</v>
      </c>
      <c r="I180" t="s">
        <v>14</v>
      </c>
      <c r="J180" t="s">
        <v>27</v>
      </c>
      <c r="K180" t="s">
        <v>21</v>
      </c>
      <c r="L180" t="s">
        <v>17</v>
      </c>
    </row>
    <row r="181" spans="1:12" x14ac:dyDescent="0.25">
      <c r="A181" t="s">
        <v>383</v>
      </c>
      <c r="B181">
        <v>1</v>
      </c>
      <c r="C181" s="1">
        <v>44598</v>
      </c>
      <c r="D181" s="2">
        <v>0.52638888888888891</v>
      </c>
      <c r="E181" t="s">
        <v>384</v>
      </c>
      <c r="F181" t="s">
        <v>31</v>
      </c>
      <c r="G181" t="s">
        <v>31</v>
      </c>
      <c r="H181" t="s">
        <v>31</v>
      </c>
      <c r="I181" t="s">
        <v>32</v>
      </c>
      <c r="J181" t="s">
        <v>27</v>
      </c>
      <c r="K181" t="s">
        <v>28</v>
      </c>
      <c r="L181" t="s">
        <v>33</v>
      </c>
    </row>
    <row r="182" spans="1:12" x14ac:dyDescent="0.25">
      <c r="A182" t="s">
        <v>385</v>
      </c>
      <c r="B182">
        <v>2</v>
      </c>
      <c r="C182" s="1">
        <v>44598</v>
      </c>
      <c r="D182" s="2">
        <v>0.52569444444444446</v>
      </c>
      <c r="E182" t="s">
        <v>386</v>
      </c>
      <c r="F182" t="s">
        <v>31</v>
      </c>
      <c r="G182" t="s">
        <v>31</v>
      </c>
      <c r="H182" t="s">
        <v>31</v>
      </c>
      <c r="I182" t="s">
        <v>32</v>
      </c>
      <c r="J182" t="s">
        <v>27</v>
      </c>
      <c r="K182" t="s">
        <v>21</v>
      </c>
      <c r="L182" t="s">
        <v>33</v>
      </c>
    </row>
    <row r="183" spans="1:12" x14ac:dyDescent="0.25">
      <c r="A183" t="s">
        <v>387</v>
      </c>
      <c r="B183">
        <v>2</v>
      </c>
      <c r="C183" s="1">
        <v>44598</v>
      </c>
      <c r="D183" s="2">
        <v>0.51736111111111105</v>
      </c>
      <c r="E183" t="s">
        <v>388</v>
      </c>
      <c r="F183" t="s">
        <v>31</v>
      </c>
      <c r="G183" t="s">
        <v>31</v>
      </c>
      <c r="H183" t="s">
        <v>31</v>
      </c>
      <c r="I183" t="s">
        <v>32</v>
      </c>
      <c r="J183" t="s">
        <v>27</v>
      </c>
      <c r="K183" t="s">
        <v>16</v>
      </c>
      <c r="L183" t="s">
        <v>33</v>
      </c>
    </row>
    <row r="184" spans="1:12" x14ac:dyDescent="0.25">
      <c r="A184" t="s">
        <v>389</v>
      </c>
      <c r="B184">
        <v>3</v>
      </c>
      <c r="C184" s="1">
        <v>44598</v>
      </c>
      <c r="D184" s="2">
        <v>0.50277777777777777</v>
      </c>
      <c r="E184" t="s">
        <v>390</v>
      </c>
      <c r="F184" t="s">
        <v>31</v>
      </c>
      <c r="G184" t="s">
        <v>31</v>
      </c>
      <c r="H184" t="s">
        <v>31</v>
      </c>
      <c r="I184" t="s">
        <v>32</v>
      </c>
      <c r="J184" t="s">
        <v>27</v>
      </c>
      <c r="K184" t="s">
        <v>21</v>
      </c>
      <c r="L184" t="s">
        <v>33</v>
      </c>
    </row>
    <row r="185" spans="1:12" x14ac:dyDescent="0.25">
      <c r="A185" t="s">
        <v>391</v>
      </c>
      <c r="B185">
        <v>4</v>
      </c>
      <c r="C185" s="1">
        <v>44598</v>
      </c>
      <c r="D185" s="2">
        <v>0.49722222222222223</v>
      </c>
      <c r="E185" t="s">
        <v>392</v>
      </c>
      <c r="F185" t="s">
        <v>13</v>
      </c>
      <c r="G185" t="s">
        <v>13</v>
      </c>
      <c r="H185" t="s">
        <v>13</v>
      </c>
      <c r="I185" t="s">
        <v>14</v>
      </c>
      <c r="J185" t="s">
        <v>27</v>
      </c>
      <c r="K185" t="s">
        <v>21</v>
      </c>
      <c r="L185" t="s">
        <v>17</v>
      </c>
    </row>
    <row r="186" spans="1:12" x14ac:dyDescent="0.25">
      <c r="A186" t="s">
        <v>393</v>
      </c>
      <c r="B186">
        <v>1</v>
      </c>
      <c r="C186" s="1">
        <v>44598</v>
      </c>
      <c r="D186" s="2">
        <v>0.44513888888888892</v>
      </c>
      <c r="E186" t="s">
        <v>394</v>
      </c>
      <c r="F186" t="s">
        <v>13</v>
      </c>
      <c r="G186" t="s">
        <v>13</v>
      </c>
      <c r="H186" t="s">
        <v>13</v>
      </c>
      <c r="I186" t="s">
        <v>14</v>
      </c>
      <c r="J186" t="s">
        <v>27</v>
      </c>
      <c r="K186" t="s">
        <v>21</v>
      </c>
      <c r="L186" t="s">
        <v>17</v>
      </c>
    </row>
    <row r="187" spans="1:12" x14ac:dyDescent="0.25">
      <c r="A187" t="s">
        <v>395</v>
      </c>
      <c r="B187">
        <v>1</v>
      </c>
      <c r="C187" s="1">
        <v>44598</v>
      </c>
      <c r="D187" s="2">
        <v>1.8055555555555557E-2</v>
      </c>
      <c r="E187" t="s">
        <v>396</v>
      </c>
      <c r="F187" t="s">
        <v>13</v>
      </c>
      <c r="G187" t="s">
        <v>13</v>
      </c>
      <c r="H187" t="s">
        <v>13</v>
      </c>
      <c r="I187" t="s">
        <v>14</v>
      </c>
      <c r="J187" t="s">
        <v>27</v>
      </c>
      <c r="K187" t="s">
        <v>21</v>
      </c>
      <c r="L187" t="s">
        <v>17</v>
      </c>
    </row>
    <row r="188" spans="1:12" x14ac:dyDescent="0.25">
      <c r="A188" t="s">
        <v>397</v>
      </c>
      <c r="B188">
        <v>5</v>
      </c>
      <c r="C188" s="1">
        <v>44597</v>
      </c>
      <c r="D188" s="2">
        <v>0.40277777777777773</v>
      </c>
      <c r="E188" t="s">
        <v>398</v>
      </c>
      <c r="F188" t="s">
        <v>36</v>
      </c>
      <c r="G188" t="s">
        <v>36</v>
      </c>
      <c r="H188" t="s">
        <v>36</v>
      </c>
      <c r="I188" t="s">
        <v>13</v>
      </c>
      <c r="J188" t="s">
        <v>27</v>
      </c>
      <c r="K188" t="s">
        <v>21</v>
      </c>
      <c r="L188" t="s">
        <v>17</v>
      </c>
    </row>
    <row r="189" spans="1:12" x14ac:dyDescent="0.25">
      <c r="A189" t="s">
        <v>399</v>
      </c>
      <c r="B189">
        <v>1</v>
      </c>
      <c r="C189" s="1">
        <v>44597</v>
      </c>
      <c r="D189" s="2">
        <v>0.3979166666666667</v>
      </c>
      <c r="E189" t="s">
        <v>400</v>
      </c>
      <c r="F189" t="s">
        <v>13</v>
      </c>
      <c r="G189" t="s">
        <v>13</v>
      </c>
      <c r="H189" t="s">
        <v>13</v>
      </c>
      <c r="I189" t="s">
        <v>14</v>
      </c>
      <c r="J189" t="s">
        <v>27</v>
      </c>
      <c r="K189" t="s">
        <v>21</v>
      </c>
      <c r="L189" t="s">
        <v>17</v>
      </c>
    </row>
    <row r="190" spans="1:12" x14ac:dyDescent="0.25">
      <c r="A190" t="s">
        <v>401</v>
      </c>
      <c r="B190">
        <v>5</v>
      </c>
      <c r="C190" s="1">
        <v>44597</v>
      </c>
      <c r="D190" s="2">
        <v>0.28055555555555556</v>
      </c>
      <c r="E190" t="s">
        <v>402</v>
      </c>
      <c r="F190" t="s">
        <v>36</v>
      </c>
      <c r="G190" t="s">
        <v>36</v>
      </c>
      <c r="H190" t="s">
        <v>36</v>
      </c>
      <c r="I190" t="s">
        <v>13</v>
      </c>
      <c r="J190" t="s">
        <v>27</v>
      </c>
      <c r="K190" t="s">
        <v>21</v>
      </c>
      <c r="L190" t="s">
        <v>17</v>
      </c>
    </row>
    <row r="191" spans="1:12" x14ac:dyDescent="0.25">
      <c r="A191" t="s">
        <v>403</v>
      </c>
      <c r="B191">
        <v>1</v>
      </c>
      <c r="C191" s="1">
        <v>44597</v>
      </c>
      <c r="D191" s="2">
        <v>0.24097222222222223</v>
      </c>
      <c r="E191" t="s">
        <v>404</v>
      </c>
      <c r="F191" t="s">
        <v>13</v>
      </c>
      <c r="G191" t="s">
        <v>13</v>
      </c>
      <c r="H191" t="s">
        <v>13</v>
      </c>
      <c r="I191" t="s">
        <v>14</v>
      </c>
      <c r="J191" t="s">
        <v>27</v>
      </c>
      <c r="K191" t="s">
        <v>21</v>
      </c>
      <c r="L191" t="s">
        <v>17</v>
      </c>
    </row>
    <row r="192" spans="1:12" x14ac:dyDescent="0.25">
      <c r="A192" t="s">
        <v>405</v>
      </c>
      <c r="B192">
        <v>1</v>
      </c>
      <c r="C192" s="1">
        <v>44597</v>
      </c>
      <c r="D192" s="2">
        <v>0.2388888888888889</v>
      </c>
      <c r="E192" t="s">
        <v>406</v>
      </c>
      <c r="F192" t="s">
        <v>13</v>
      </c>
      <c r="G192" t="s">
        <v>13</v>
      </c>
      <c r="H192" t="s">
        <v>13</v>
      </c>
      <c r="I192" t="s">
        <v>14</v>
      </c>
      <c r="J192" t="s">
        <v>27</v>
      </c>
      <c r="K192" t="s">
        <v>21</v>
      </c>
      <c r="L192" t="s">
        <v>17</v>
      </c>
    </row>
    <row r="193" spans="1:12" x14ac:dyDescent="0.25">
      <c r="A193" t="s">
        <v>407</v>
      </c>
      <c r="B193">
        <v>5</v>
      </c>
      <c r="C193" s="1">
        <v>44597</v>
      </c>
      <c r="D193" s="2">
        <v>0.21736111111111112</v>
      </c>
      <c r="E193" t="s">
        <v>408</v>
      </c>
      <c r="F193" t="s">
        <v>36</v>
      </c>
      <c r="G193" t="s">
        <v>36</v>
      </c>
      <c r="H193" t="s">
        <v>36</v>
      </c>
      <c r="I193" t="s">
        <v>13</v>
      </c>
      <c r="J193" t="s">
        <v>27</v>
      </c>
      <c r="K193" t="s">
        <v>28</v>
      </c>
      <c r="L193" t="s">
        <v>17</v>
      </c>
    </row>
    <row r="194" spans="1:12" x14ac:dyDescent="0.25">
      <c r="A194" t="s">
        <v>409</v>
      </c>
      <c r="B194">
        <v>1</v>
      </c>
      <c r="C194" s="1">
        <v>44597</v>
      </c>
      <c r="D194" s="2">
        <v>0.17152777777777775</v>
      </c>
      <c r="E194" t="s">
        <v>410</v>
      </c>
      <c r="F194" t="s">
        <v>13</v>
      </c>
      <c r="G194" t="s">
        <v>13</v>
      </c>
      <c r="H194" t="s">
        <v>13</v>
      </c>
      <c r="I194" t="s">
        <v>14</v>
      </c>
      <c r="J194" t="s">
        <v>27</v>
      </c>
      <c r="K194" t="s">
        <v>21</v>
      </c>
      <c r="L194" t="s">
        <v>17</v>
      </c>
    </row>
    <row r="195" spans="1:12" x14ac:dyDescent="0.25">
      <c r="A195" t="s">
        <v>411</v>
      </c>
      <c r="B195">
        <v>1</v>
      </c>
      <c r="C195" s="1">
        <v>44597</v>
      </c>
      <c r="D195" s="2">
        <v>0.1125</v>
      </c>
      <c r="E195" t="s">
        <v>412</v>
      </c>
      <c r="F195" t="s">
        <v>13</v>
      </c>
      <c r="G195" t="s">
        <v>13</v>
      </c>
      <c r="H195" t="s">
        <v>13</v>
      </c>
      <c r="I195" t="s">
        <v>14</v>
      </c>
      <c r="J195" t="s">
        <v>27</v>
      </c>
      <c r="K195" t="s">
        <v>28</v>
      </c>
      <c r="L195" t="s">
        <v>17</v>
      </c>
    </row>
    <row r="196" spans="1:12" x14ac:dyDescent="0.25">
      <c r="A196" t="s">
        <v>413</v>
      </c>
      <c r="B196">
        <v>1</v>
      </c>
      <c r="C196" s="1">
        <v>44597</v>
      </c>
      <c r="D196" s="2">
        <v>9.9999999999999992E-2</v>
      </c>
      <c r="E196" t="s">
        <v>414</v>
      </c>
      <c r="F196" t="s">
        <v>13</v>
      </c>
      <c r="G196" t="s">
        <v>13</v>
      </c>
      <c r="H196" t="s">
        <v>13</v>
      </c>
      <c r="I196" t="s">
        <v>14</v>
      </c>
      <c r="J196" t="s">
        <v>27</v>
      </c>
      <c r="K196" t="s">
        <v>21</v>
      </c>
      <c r="L196" t="s">
        <v>17</v>
      </c>
    </row>
    <row r="197" spans="1:12" x14ac:dyDescent="0.25">
      <c r="A197" t="s">
        <v>415</v>
      </c>
      <c r="B197">
        <v>5</v>
      </c>
      <c r="C197" s="1">
        <v>44597</v>
      </c>
      <c r="D197" s="2">
        <v>0.88194444444444453</v>
      </c>
      <c r="E197" t="s">
        <v>416</v>
      </c>
      <c r="F197" t="s">
        <v>36</v>
      </c>
      <c r="G197" t="s">
        <v>36</v>
      </c>
      <c r="H197" t="s">
        <v>36</v>
      </c>
      <c r="I197" t="s">
        <v>13</v>
      </c>
      <c r="J197" t="s">
        <v>27</v>
      </c>
      <c r="K197" t="s">
        <v>21</v>
      </c>
      <c r="L197" t="s">
        <v>17</v>
      </c>
    </row>
    <row r="198" spans="1:12" x14ac:dyDescent="0.25">
      <c r="A198" t="s">
        <v>417</v>
      </c>
      <c r="B198">
        <v>4</v>
      </c>
      <c r="C198" s="1">
        <v>44597</v>
      </c>
      <c r="D198" s="2">
        <v>8.1944444444444445E-2</v>
      </c>
      <c r="E198" t="s">
        <v>418</v>
      </c>
      <c r="F198" t="s">
        <v>13</v>
      </c>
      <c r="G198" t="s">
        <v>13</v>
      </c>
      <c r="H198" t="s">
        <v>13</v>
      </c>
      <c r="I198" t="s">
        <v>14</v>
      </c>
      <c r="J198" t="s">
        <v>27</v>
      </c>
      <c r="K198" t="s">
        <v>21</v>
      </c>
      <c r="L198" t="s">
        <v>17</v>
      </c>
    </row>
    <row r="199" spans="1:12" x14ac:dyDescent="0.25">
      <c r="A199" t="s">
        <v>419</v>
      </c>
      <c r="B199">
        <v>5</v>
      </c>
      <c r="C199" s="1">
        <v>44597</v>
      </c>
      <c r="D199" s="2">
        <v>0.78194444444444444</v>
      </c>
      <c r="E199" t="s">
        <v>420</v>
      </c>
      <c r="F199" t="s">
        <v>36</v>
      </c>
      <c r="G199" t="s">
        <v>36</v>
      </c>
      <c r="H199" t="s">
        <v>36</v>
      </c>
      <c r="I199" t="s">
        <v>13</v>
      </c>
      <c r="J199" t="s">
        <v>27</v>
      </c>
      <c r="K199" t="s">
        <v>21</v>
      </c>
      <c r="L199" t="s">
        <v>17</v>
      </c>
    </row>
    <row r="200" spans="1:12" x14ac:dyDescent="0.25">
      <c r="A200" t="s">
        <v>421</v>
      </c>
      <c r="B200">
        <v>3</v>
      </c>
      <c r="C200" s="1">
        <v>44597</v>
      </c>
      <c r="D200" s="2">
        <v>0.66666666666666663</v>
      </c>
      <c r="E200" t="s">
        <v>422</v>
      </c>
      <c r="F200" t="s">
        <v>13</v>
      </c>
      <c r="G200" t="s">
        <v>13</v>
      </c>
      <c r="H200" t="s">
        <v>13</v>
      </c>
      <c r="I200" t="s">
        <v>14</v>
      </c>
      <c r="J200" t="s">
        <v>27</v>
      </c>
      <c r="K200" t="s">
        <v>28</v>
      </c>
      <c r="L200" t="s">
        <v>17</v>
      </c>
    </row>
    <row r="201" spans="1:12" x14ac:dyDescent="0.25">
      <c r="A201" t="s">
        <v>423</v>
      </c>
      <c r="B201">
        <v>1</v>
      </c>
      <c r="C201" s="1">
        <v>44597</v>
      </c>
      <c r="D201" s="2">
        <v>0.66249999999999998</v>
      </c>
      <c r="E201" t="s">
        <v>424</v>
      </c>
      <c r="F201" t="s">
        <v>13</v>
      </c>
      <c r="G201" t="s">
        <v>13</v>
      </c>
      <c r="H201" t="s">
        <v>13</v>
      </c>
      <c r="I201" t="s">
        <v>14</v>
      </c>
      <c r="J201" t="s">
        <v>27</v>
      </c>
      <c r="K201" t="s">
        <v>21</v>
      </c>
      <c r="L201" t="s">
        <v>17</v>
      </c>
    </row>
    <row r="202" spans="1:12" x14ac:dyDescent="0.25">
      <c r="A202" t="s">
        <v>425</v>
      </c>
      <c r="B202">
        <v>5</v>
      </c>
      <c r="C202" s="1">
        <v>44597</v>
      </c>
      <c r="D202" s="2">
        <v>0.63750000000000007</v>
      </c>
      <c r="E202" t="s">
        <v>426</v>
      </c>
      <c r="F202" t="s">
        <v>36</v>
      </c>
      <c r="G202" t="s">
        <v>36</v>
      </c>
      <c r="H202" t="s">
        <v>36</v>
      </c>
      <c r="I202" t="s">
        <v>13</v>
      </c>
      <c r="J202" t="s">
        <v>27</v>
      </c>
      <c r="K202" t="s">
        <v>21</v>
      </c>
      <c r="L202" t="s">
        <v>17</v>
      </c>
    </row>
    <row r="203" spans="1:12" x14ac:dyDescent="0.25">
      <c r="A203" t="s">
        <v>427</v>
      </c>
      <c r="B203">
        <v>2</v>
      </c>
      <c r="C203" s="1">
        <v>44597</v>
      </c>
      <c r="D203" s="2">
        <v>0.60347222222222219</v>
      </c>
      <c r="E203" t="s">
        <v>428</v>
      </c>
      <c r="F203" t="s">
        <v>13</v>
      </c>
      <c r="G203" t="s">
        <v>13</v>
      </c>
      <c r="H203" t="s">
        <v>13</v>
      </c>
      <c r="I203" t="s">
        <v>14</v>
      </c>
      <c r="J203" t="s">
        <v>27</v>
      </c>
      <c r="K203" t="s">
        <v>21</v>
      </c>
      <c r="L203" t="s">
        <v>17</v>
      </c>
    </row>
    <row r="204" spans="1:12" x14ac:dyDescent="0.25">
      <c r="A204" t="s">
        <v>429</v>
      </c>
      <c r="B204">
        <v>2</v>
      </c>
      <c r="C204" s="1">
        <v>44597</v>
      </c>
      <c r="D204" s="2">
        <v>0.56111111111111112</v>
      </c>
      <c r="E204" t="s">
        <v>430</v>
      </c>
      <c r="F204" t="s">
        <v>13</v>
      </c>
      <c r="G204" t="s">
        <v>13</v>
      </c>
      <c r="H204" t="s">
        <v>13</v>
      </c>
      <c r="I204" t="s">
        <v>14</v>
      </c>
      <c r="J204" t="s">
        <v>27</v>
      </c>
      <c r="K204" t="s">
        <v>16</v>
      </c>
      <c r="L204" t="s">
        <v>17</v>
      </c>
    </row>
    <row r="205" spans="1:12" x14ac:dyDescent="0.25">
      <c r="A205" t="s">
        <v>431</v>
      </c>
      <c r="B205">
        <v>1</v>
      </c>
      <c r="C205" s="1">
        <v>44597</v>
      </c>
      <c r="D205" s="2">
        <v>0.54722222222222217</v>
      </c>
      <c r="E205" t="s">
        <v>432</v>
      </c>
      <c r="F205" t="s">
        <v>13</v>
      </c>
      <c r="G205" t="s">
        <v>13</v>
      </c>
      <c r="H205" t="s">
        <v>13</v>
      </c>
      <c r="I205" t="s">
        <v>14</v>
      </c>
      <c r="J205" t="s">
        <v>27</v>
      </c>
      <c r="K205" t="s">
        <v>28</v>
      </c>
      <c r="L205" t="s">
        <v>17</v>
      </c>
    </row>
    <row r="206" spans="1:12" x14ac:dyDescent="0.25">
      <c r="A206" t="s">
        <v>433</v>
      </c>
      <c r="B206">
        <v>2</v>
      </c>
      <c r="C206" s="1">
        <v>44597</v>
      </c>
      <c r="D206" s="2">
        <v>0.51944444444444449</v>
      </c>
      <c r="E206" t="s">
        <v>434</v>
      </c>
      <c r="F206" t="s">
        <v>13</v>
      </c>
      <c r="G206" t="s">
        <v>13</v>
      </c>
      <c r="H206" t="s">
        <v>13</v>
      </c>
      <c r="I206" t="s">
        <v>14</v>
      </c>
      <c r="J206" t="s">
        <v>27</v>
      </c>
      <c r="K206" t="s">
        <v>21</v>
      </c>
      <c r="L206" t="s">
        <v>17</v>
      </c>
    </row>
    <row r="207" spans="1:12" x14ac:dyDescent="0.25">
      <c r="A207" t="s">
        <v>435</v>
      </c>
      <c r="B207">
        <v>2</v>
      </c>
      <c r="C207" s="1">
        <v>44597</v>
      </c>
      <c r="D207" s="2">
        <v>0.47291666666666665</v>
      </c>
      <c r="E207" t="s">
        <v>436</v>
      </c>
      <c r="F207" t="s">
        <v>13</v>
      </c>
      <c r="G207" t="s">
        <v>13</v>
      </c>
      <c r="H207" t="s">
        <v>13</v>
      </c>
      <c r="I207" t="s">
        <v>14</v>
      </c>
      <c r="J207" t="s">
        <v>27</v>
      </c>
      <c r="K207" t="s">
        <v>21</v>
      </c>
      <c r="L207" t="s">
        <v>17</v>
      </c>
    </row>
    <row r="208" spans="1:12" x14ac:dyDescent="0.25">
      <c r="A208" t="s">
        <v>437</v>
      </c>
      <c r="B208">
        <v>1</v>
      </c>
      <c r="C208" s="1">
        <v>44597</v>
      </c>
      <c r="D208" s="2">
        <v>0.44861111111111113</v>
      </c>
      <c r="E208" t="s">
        <v>438</v>
      </c>
      <c r="F208" t="s">
        <v>13</v>
      </c>
      <c r="G208" t="s">
        <v>13</v>
      </c>
      <c r="H208" t="s">
        <v>13</v>
      </c>
      <c r="I208" t="s">
        <v>14</v>
      </c>
      <c r="J208" t="s">
        <v>27</v>
      </c>
      <c r="K208" t="s">
        <v>21</v>
      </c>
      <c r="L208" t="s">
        <v>17</v>
      </c>
    </row>
    <row r="209" spans="1:12" x14ac:dyDescent="0.25">
      <c r="A209" t="s">
        <v>439</v>
      </c>
      <c r="B209">
        <v>2</v>
      </c>
      <c r="C209" s="1">
        <v>44597</v>
      </c>
      <c r="D209" s="2">
        <v>1.9444444444444445E-2</v>
      </c>
      <c r="E209" t="s">
        <v>440</v>
      </c>
      <c r="F209" t="s">
        <v>13</v>
      </c>
      <c r="G209" t="s">
        <v>13</v>
      </c>
      <c r="H209" t="s">
        <v>13</v>
      </c>
      <c r="I209" t="s">
        <v>14</v>
      </c>
      <c r="J209" t="s">
        <v>27</v>
      </c>
      <c r="K209" t="s">
        <v>21</v>
      </c>
      <c r="L209" t="s">
        <v>17</v>
      </c>
    </row>
    <row r="210" spans="1:12" x14ac:dyDescent="0.25">
      <c r="A210" t="s">
        <v>441</v>
      </c>
      <c r="B210">
        <v>1</v>
      </c>
      <c r="C210" s="1">
        <v>44596</v>
      </c>
      <c r="D210" s="2">
        <v>0.38750000000000001</v>
      </c>
      <c r="E210" t="s">
        <v>442</v>
      </c>
      <c r="F210" t="s">
        <v>13</v>
      </c>
      <c r="G210" t="s">
        <v>13</v>
      </c>
      <c r="H210" t="s">
        <v>13</v>
      </c>
      <c r="I210" t="s">
        <v>14</v>
      </c>
      <c r="J210" t="s">
        <v>27</v>
      </c>
      <c r="K210" t="s">
        <v>21</v>
      </c>
      <c r="L210" t="s">
        <v>17</v>
      </c>
    </row>
    <row r="211" spans="1:12" x14ac:dyDescent="0.25">
      <c r="A211" t="s">
        <v>443</v>
      </c>
      <c r="B211">
        <v>5</v>
      </c>
      <c r="C211" s="1">
        <v>44596</v>
      </c>
      <c r="D211" s="2">
        <v>0.38125000000000003</v>
      </c>
      <c r="E211" t="s">
        <v>444</v>
      </c>
      <c r="F211" t="s">
        <v>31</v>
      </c>
      <c r="G211" t="s">
        <v>31</v>
      </c>
      <c r="H211" t="s">
        <v>31</v>
      </c>
      <c r="I211" t="s">
        <v>32</v>
      </c>
      <c r="J211" t="s">
        <v>27</v>
      </c>
      <c r="K211" t="s">
        <v>21</v>
      </c>
      <c r="L211" t="s">
        <v>33</v>
      </c>
    </row>
    <row r="212" spans="1:12" x14ac:dyDescent="0.25">
      <c r="A212" t="s">
        <v>445</v>
      </c>
      <c r="B212">
        <v>2</v>
      </c>
      <c r="C212" s="1">
        <v>44596</v>
      </c>
      <c r="D212" s="2">
        <v>0.31875000000000003</v>
      </c>
      <c r="E212" t="s">
        <v>446</v>
      </c>
      <c r="F212" t="s">
        <v>13</v>
      </c>
      <c r="G212" t="s">
        <v>13</v>
      </c>
      <c r="H212" t="s">
        <v>13</v>
      </c>
      <c r="I212" t="s">
        <v>14</v>
      </c>
      <c r="J212" t="s">
        <v>27</v>
      </c>
      <c r="K212" t="s">
        <v>21</v>
      </c>
      <c r="L212" t="s">
        <v>17</v>
      </c>
    </row>
    <row r="213" spans="1:12" x14ac:dyDescent="0.25">
      <c r="A213" t="s">
        <v>447</v>
      </c>
      <c r="B213">
        <v>4</v>
      </c>
      <c r="C213" s="1">
        <v>44596</v>
      </c>
      <c r="D213" s="2">
        <v>0.29444444444444445</v>
      </c>
      <c r="E213" t="s">
        <v>448</v>
      </c>
      <c r="F213" t="s">
        <v>36</v>
      </c>
      <c r="G213" t="s">
        <v>36</v>
      </c>
      <c r="H213" t="s">
        <v>36</v>
      </c>
      <c r="I213" t="s">
        <v>13</v>
      </c>
      <c r="J213" t="s">
        <v>27</v>
      </c>
      <c r="K213" t="s">
        <v>21</v>
      </c>
      <c r="L213" t="s">
        <v>17</v>
      </c>
    </row>
    <row r="214" spans="1:12" x14ac:dyDescent="0.25">
      <c r="A214" t="s">
        <v>449</v>
      </c>
      <c r="B214">
        <v>5</v>
      </c>
      <c r="C214" s="1">
        <v>44596</v>
      </c>
      <c r="D214" s="2">
        <v>0.24722222222222223</v>
      </c>
      <c r="E214" t="s">
        <v>450</v>
      </c>
      <c r="F214" t="s">
        <v>36</v>
      </c>
      <c r="G214" t="s">
        <v>36</v>
      </c>
      <c r="H214" t="s">
        <v>36</v>
      </c>
      <c r="I214" t="s">
        <v>13</v>
      </c>
      <c r="J214" t="s">
        <v>27</v>
      </c>
      <c r="K214" t="s">
        <v>28</v>
      </c>
      <c r="L214" t="s">
        <v>17</v>
      </c>
    </row>
    <row r="215" spans="1:12" x14ac:dyDescent="0.25">
      <c r="A215" t="s">
        <v>451</v>
      </c>
      <c r="B215">
        <v>5</v>
      </c>
      <c r="C215" s="1">
        <v>44596</v>
      </c>
      <c r="D215" s="2">
        <v>0.21875</v>
      </c>
      <c r="E215" t="s">
        <v>452</v>
      </c>
      <c r="F215" t="s">
        <v>36</v>
      </c>
      <c r="G215" t="s">
        <v>36</v>
      </c>
      <c r="H215" t="s">
        <v>36</v>
      </c>
      <c r="I215" t="s">
        <v>13</v>
      </c>
      <c r="J215" t="s">
        <v>27</v>
      </c>
      <c r="K215" t="s">
        <v>21</v>
      </c>
      <c r="L215" t="s">
        <v>17</v>
      </c>
    </row>
    <row r="216" spans="1:12" x14ac:dyDescent="0.25">
      <c r="A216" t="s">
        <v>453</v>
      </c>
      <c r="B216">
        <v>1</v>
      </c>
      <c r="C216" s="1">
        <v>44596</v>
      </c>
      <c r="D216" s="2">
        <v>0.21388888888888891</v>
      </c>
      <c r="E216" t="s">
        <v>454</v>
      </c>
      <c r="F216" t="s">
        <v>13</v>
      </c>
      <c r="G216" t="s">
        <v>13</v>
      </c>
      <c r="H216" t="s">
        <v>13</v>
      </c>
      <c r="I216" t="s">
        <v>14</v>
      </c>
      <c r="J216" t="s">
        <v>27</v>
      </c>
      <c r="K216" t="s">
        <v>21</v>
      </c>
      <c r="L216" t="s">
        <v>17</v>
      </c>
    </row>
    <row r="217" spans="1:12" x14ac:dyDescent="0.25">
      <c r="A217" t="s">
        <v>455</v>
      </c>
      <c r="B217">
        <v>4</v>
      </c>
      <c r="C217" s="1">
        <v>44596</v>
      </c>
      <c r="D217" s="2">
        <v>0.94305555555555554</v>
      </c>
      <c r="E217" t="s">
        <v>456</v>
      </c>
      <c r="F217" t="s">
        <v>36</v>
      </c>
      <c r="G217" t="s">
        <v>36</v>
      </c>
      <c r="H217" t="s">
        <v>36</v>
      </c>
      <c r="I217" t="s">
        <v>13</v>
      </c>
      <c r="J217" t="s">
        <v>27</v>
      </c>
      <c r="K217" t="s">
        <v>21</v>
      </c>
      <c r="L217" t="s">
        <v>17</v>
      </c>
    </row>
    <row r="218" spans="1:12" x14ac:dyDescent="0.25">
      <c r="A218" t="s">
        <v>457</v>
      </c>
      <c r="B218">
        <v>1</v>
      </c>
      <c r="C218" s="1">
        <v>44596</v>
      </c>
      <c r="D218" s="2">
        <v>0.93541666666666667</v>
      </c>
      <c r="E218" t="s">
        <v>458</v>
      </c>
      <c r="F218" t="s">
        <v>13</v>
      </c>
      <c r="G218" t="s">
        <v>13</v>
      </c>
      <c r="H218" t="s">
        <v>13</v>
      </c>
      <c r="I218" t="s">
        <v>14</v>
      </c>
      <c r="J218" t="s">
        <v>27</v>
      </c>
      <c r="K218" t="s">
        <v>21</v>
      </c>
      <c r="L218" t="s">
        <v>17</v>
      </c>
    </row>
    <row r="219" spans="1:12" x14ac:dyDescent="0.25">
      <c r="A219" t="s">
        <v>459</v>
      </c>
      <c r="B219">
        <v>1</v>
      </c>
      <c r="C219" s="1">
        <v>44596</v>
      </c>
      <c r="D219" s="2">
        <v>0.7270833333333333</v>
      </c>
      <c r="E219" t="s">
        <v>460</v>
      </c>
      <c r="F219" t="s">
        <v>13</v>
      </c>
      <c r="G219" t="s">
        <v>13</v>
      </c>
      <c r="H219" t="s">
        <v>13</v>
      </c>
      <c r="I219" t="s">
        <v>14</v>
      </c>
      <c r="J219" t="s">
        <v>27</v>
      </c>
      <c r="K219" t="s">
        <v>21</v>
      </c>
      <c r="L219" t="s">
        <v>17</v>
      </c>
    </row>
    <row r="220" spans="1:12" x14ac:dyDescent="0.25">
      <c r="A220" t="s">
        <v>461</v>
      </c>
      <c r="B220">
        <v>1</v>
      </c>
      <c r="C220" s="1">
        <v>44596</v>
      </c>
      <c r="D220" s="2">
        <v>0.72083333333333333</v>
      </c>
      <c r="E220" t="s">
        <v>462</v>
      </c>
      <c r="F220" t="s">
        <v>13</v>
      </c>
      <c r="G220" t="s">
        <v>13</v>
      </c>
      <c r="H220" t="s">
        <v>13</v>
      </c>
      <c r="I220" t="s">
        <v>14</v>
      </c>
      <c r="J220" t="s">
        <v>27</v>
      </c>
      <c r="K220" t="s">
        <v>21</v>
      </c>
      <c r="L220" t="s">
        <v>17</v>
      </c>
    </row>
    <row r="221" spans="1:12" x14ac:dyDescent="0.25">
      <c r="A221" t="s">
        <v>463</v>
      </c>
      <c r="B221">
        <v>1</v>
      </c>
      <c r="C221" s="1">
        <v>44596</v>
      </c>
      <c r="D221" s="2">
        <v>0.66875000000000007</v>
      </c>
      <c r="E221" t="s">
        <v>464</v>
      </c>
      <c r="F221" t="s">
        <v>13</v>
      </c>
      <c r="G221" t="s">
        <v>13</v>
      </c>
      <c r="H221" t="s">
        <v>13</v>
      </c>
      <c r="I221" t="s">
        <v>14</v>
      </c>
      <c r="J221" t="s">
        <v>27</v>
      </c>
      <c r="K221" t="s">
        <v>21</v>
      </c>
      <c r="L221" t="s">
        <v>17</v>
      </c>
    </row>
    <row r="222" spans="1:12" x14ac:dyDescent="0.25">
      <c r="A222" t="s">
        <v>465</v>
      </c>
      <c r="B222">
        <v>5</v>
      </c>
      <c r="C222" s="1">
        <v>44596</v>
      </c>
      <c r="D222" s="2">
        <v>0.66875000000000007</v>
      </c>
      <c r="E222" t="s">
        <v>466</v>
      </c>
      <c r="F222" t="s">
        <v>13</v>
      </c>
      <c r="G222" t="s">
        <v>13</v>
      </c>
      <c r="H222" t="s">
        <v>13</v>
      </c>
      <c r="I222" t="s">
        <v>14</v>
      </c>
      <c r="J222" t="s">
        <v>27</v>
      </c>
      <c r="K222" t="s">
        <v>21</v>
      </c>
      <c r="L222" t="s">
        <v>17</v>
      </c>
    </row>
    <row r="223" spans="1:12" x14ac:dyDescent="0.25">
      <c r="A223" t="s">
        <v>467</v>
      </c>
      <c r="B223">
        <v>2</v>
      </c>
      <c r="C223" s="1">
        <v>44596</v>
      </c>
      <c r="D223" s="2">
        <v>0.62361111111111112</v>
      </c>
      <c r="E223" t="s">
        <v>468</v>
      </c>
      <c r="F223" t="s">
        <v>13</v>
      </c>
      <c r="G223" t="s">
        <v>13</v>
      </c>
      <c r="H223" t="s">
        <v>13</v>
      </c>
      <c r="I223" t="s">
        <v>14</v>
      </c>
      <c r="J223" t="s">
        <v>27</v>
      </c>
      <c r="K223" t="s">
        <v>16</v>
      </c>
      <c r="L223" t="s">
        <v>17</v>
      </c>
    </row>
    <row r="224" spans="1:12" x14ac:dyDescent="0.25">
      <c r="A224" t="s">
        <v>469</v>
      </c>
      <c r="B224">
        <v>5</v>
      </c>
      <c r="C224" s="1">
        <v>44596</v>
      </c>
      <c r="D224" s="2">
        <v>0.60416666666666663</v>
      </c>
      <c r="E224" t="s">
        <v>470</v>
      </c>
      <c r="F224" t="s">
        <v>36</v>
      </c>
      <c r="G224" t="s">
        <v>36</v>
      </c>
      <c r="H224" t="s">
        <v>36</v>
      </c>
      <c r="I224" t="s">
        <v>13</v>
      </c>
      <c r="J224" t="s">
        <v>27</v>
      </c>
      <c r="K224" t="s">
        <v>28</v>
      </c>
      <c r="L224" t="s">
        <v>17</v>
      </c>
    </row>
    <row r="225" spans="1:12" x14ac:dyDescent="0.25">
      <c r="A225" t="s">
        <v>471</v>
      </c>
      <c r="B225">
        <v>1</v>
      </c>
      <c r="C225" s="1">
        <v>44596</v>
      </c>
      <c r="D225" s="2">
        <v>0.60277777777777775</v>
      </c>
      <c r="E225" t="s">
        <v>472</v>
      </c>
      <c r="F225" t="s">
        <v>13</v>
      </c>
      <c r="G225" t="s">
        <v>13</v>
      </c>
      <c r="H225" t="s">
        <v>13</v>
      </c>
      <c r="I225" t="s">
        <v>14</v>
      </c>
      <c r="J225" t="s">
        <v>27</v>
      </c>
      <c r="K225" t="s">
        <v>21</v>
      </c>
      <c r="L225" t="s">
        <v>17</v>
      </c>
    </row>
    <row r="226" spans="1:12" x14ac:dyDescent="0.25">
      <c r="A226" t="s">
        <v>473</v>
      </c>
      <c r="B226">
        <v>1</v>
      </c>
      <c r="C226" s="1">
        <v>44596</v>
      </c>
      <c r="D226" s="2">
        <v>0.57361111111111118</v>
      </c>
      <c r="E226" t="s">
        <v>474</v>
      </c>
      <c r="F226" t="s">
        <v>13</v>
      </c>
      <c r="G226" t="s">
        <v>13</v>
      </c>
      <c r="H226" t="s">
        <v>13</v>
      </c>
      <c r="I226" t="s">
        <v>14</v>
      </c>
      <c r="J226" t="s">
        <v>27</v>
      </c>
      <c r="K226" t="s">
        <v>16</v>
      </c>
      <c r="L226" t="s">
        <v>17</v>
      </c>
    </row>
    <row r="227" spans="1:12" x14ac:dyDescent="0.25">
      <c r="A227" t="s">
        <v>475</v>
      </c>
      <c r="B227">
        <v>5</v>
      </c>
      <c r="C227" s="1">
        <v>44596</v>
      </c>
      <c r="D227" s="2">
        <v>0.56874999999999998</v>
      </c>
      <c r="E227" t="s">
        <v>476</v>
      </c>
      <c r="F227" t="s">
        <v>36</v>
      </c>
      <c r="G227" t="s">
        <v>36</v>
      </c>
      <c r="H227" t="s">
        <v>36</v>
      </c>
      <c r="I227" t="s">
        <v>13</v>
      </c>
      <c r="J227" t="s">
        <v>27</v>
      </c>
      <c r="K227" t="s">
        <v>28</v>
      </c>
      <c r="L227" t="s">
        <v>17</v>
      </c>
    </row>
    <row r="228" spans="1:12" x14ac:dyDescent="0.25">
      <c r="A228" t="s">
        <v>477</v>
      </c>
      <c r="B228">
        <v>5</v>
      </c>
      <c r="C228" s="1">
        <v>44596</v>
      </c>
      <c r="D228" s="2">
        <v>0.54097222222222219</v>
      </c>
      <c r="E228" t="s">
        <v>478</v>
      </c>
      <c r="F228" t="s">
        <v>36</v>
      </c>
      <c r="G228" t="s">
        <v>36</v>
      </c>
      <c r="H228" t="s">
        <v>36</v>
      </c>
      <c r="I228" t="s">
        <v>13</v>
      </c>
      <c r="J228" t="s">
        <v>27</v>
      </c>
      <c r="K228" t="s">
        <v>21</v>
      </c>
      <c r="L228" t="s">
        <v>17</v>
      </c>
    </row>
    <row r="229" spans="1:12" x14ac:dyDescent="0.25">
      <c r="A229" t="s">
        <v>479</v>
      </c>
      <c r="B229">
        <v>4</v>
      </c>
      <c r="C229" s="1">
        <v>44596</v>
      </c>
      <c r="D229" s="2">
        <v>0.52569444444444446</v>
      </c>
      <c r="E229" t="s">
        <v>480</v>
      </c>
      <c r="F229" t="s">
        <v>36</v>
      </c>
      <c r="G229" t="s">
        <v>36</v>
      </c>
      <c r="H229" t="s">
        <v>36</v>
      </c>
      <c r="I229" t="s">
        <v>13</v>
      </c>
      <c r="J229" t="s">
        <v>27</v>
      </c>
      <c r="K229" t="s">
        <v>21</v>
      </c>
      <c r="L229" t="s">
        <v>17</v>
      </c>
    </row>
    <row r="230" spans="1:12" x14ac:dyDescent="0.25">
      <c r="A230" t="s">
        <v>481</v>
      </c>
      <c r="B230">
        <v>4</v>
      </c>
      <c r="C230" s="1">
        <v>44596</v>
      </c>
      <c r="D230" s="2">
        <v>0.52500000000000002</v>
      </c>
      <c r="E230" t="s">
        <v>482</v>
      </c>
      <c r="F230" t="s">
        <v>31</v>
      </c>
      <c r="G230" t="s">
        <v>31</v>
      </c>
      <c r="H230" t="s">
        <v>31</v>
      </c>
      <c r="I230" t="s">
        <v>32</v>
      </c>
      <c r="J230" t="s">
        <v>27</v>
      </c>
      <c r="K230" t="s">
        <v>21</v>
      </c>
      <c r="L230" t="s">
        <v>33</v>
      </c>
    </row>
    <row r="231" spans="1:12" x14ac:dyDescent="0.25">
      <c r="A231" t="s">
        <v>483</v>
      </c>
      <c r="B231">
        <v>5</v>
      </c>
      <c r="C231" s="1">
        <v>44596</v>
      </c>
      <c r="D231" s="2">
        <v>0.49305555555555558</v>
      </c>
      <c r="E231" t="s">
        <v>484</v>
      </c>
      <c r="F231" t="s">
        <v>13</v>
      </c>
      <c r="G231" t="s">
        <v>13</v>
      </c>
      <c r="H231" t="s">
        <v>13</v>
      </c>
      <c r="I231" t="s">
        <v>14</v>
      </c>
      <c r="J231" t="s">
        <v>27</v>
      </c>
      <c r="K231" t="s">
        <v>21</v>
      </c>
      <c r="L231" t="s">
        <v>17</v>
      </c>
    </row>
    <row r="232" spans="1:12" x14ac:dyDescent="0.25">
      <c r="A232" t="s">
        <v>485</v>
      </c>
      <c r="B232">
        <v>1</v>
      </c>
      <c r="C232" s="1">
        <v>44596</v>
      </c>
      <c r="D232" s="2">
        <v>0.48402777777777778</v>
      </c>
      <c r="E232" t="s">
        <v>486</v>
      </c>
      <c r="F232" t="s">
        <v>13</v>
      </c>
      <c r="G232" t="s">
        <v>13</v>
      </c>
      <c r="H232" t="s">
        <v>13</v>
      </c>
      <c r="I232" t="s">
        <v>14</v>
      </c>
      <c r="J232" t="s">
        <v>27</v>
      </c>
      <c r="K232" t="s">
        <v>21</v>
      </c>
      <c r="L232" t="s">
        <v>17</v>
      </c>
    </row>
    <row r="233" spans="1:12" x14ac:dyDescent="0.25">
      <c r="A233" t="s">
        <v>487</v>
      </c>
      <c r="B233">
        <v>5</v>
      </c>
      <c r="C233" s="1">
        <v>44596</v>
      </c>
      <c r="D233" s="2">
        <v>0.44861111111111113</v>
      </c>
      <c r="E233" t="s">
        <v>488</v>
      </c>
      <c r="F233" t="s">
        <v>36</v>
      </c>
      <c r="G233" t="s">
        <v>36</v>
      </c>
      <c r="H233" t="s">
        <v>36</v>
      </c>
      <c r="I233" t="s">
        <v>13</v>
      </c>
      <c r="J233" t="s">
        <v>27</v>
      </c>
      <c r="K233" t="s">
        <v>21</v>
      </c>
      <c r="L233" t="s">
        <v>17</v>
      </c>
    </row>
    <row r="234" spans="1:12" x14ac:dyDescent="0.25">
      <c r="A234" t="s">
        <v>489</v>
      </c>
      <c r="B234">
        <v>4</v>
      </c>
      <c r="C234" s="1">
        <v>44596</v>
      </c>
      <c r="D234" s="2">
        <v>0.4375</v>
      </c>
      <c r="E234" t="s">
        <v>490</v>
      </c>
      <c r="F234" t="s">
        <v>36</v>
      </c>
      <c r="G234" t="s">
        <v>36</v>
      </c>
      <c r="H234" t="s">
        <v>36</v>
      </c>
      <c r="I234" t="s">
        <v>13</v>
      </c>
      <c r="J234" t="s">
        <v>27</v>
      </c>
      <c r="K234" t="s">
        <v>21</v>
      </c>
      <c r="L234" t="s">
        <v>17</v>
      </c>
    </row>
    <row r="235" spans="1:12" x14ac:dyDescent="0.25">
      <c r="A235" t="s">
        <v>491</v>
      </c>
      <c r="B235">
        <v>5</v>
      </c>
      <c r="C235" s="1">
        <v>44596</v>
      </c>
      <c r="D235" s="2">
        <v>1.1805555555555555E-2</v>
      </c>
      <c r="E235" t="s">
        <v>492</v>
      </c>
      <c r="F235" t="s">
        <v>13</v>
      </c>
      <c r="G235" t="s">
        <v>13</v>
      </c>
      <c r="H235" t="s">
        <v>13</v>
      </c>
      <c r="I235" t="s">
        <v>14</v>
      </c>
      <c r="J235" t="s">
        <v>27</v>
      </c>
      <c r="K235" t="s">
        <v>21</v>
      </c>
      <c r="L235" t="s">
        <v>17</v>
      </c>
    </row>
    <row r="236" spans="1:12" x14ac:dyDescent="0.25">
      <c r="A236" t="s">
        <v>493</v>
      </c>
      <c r="B236">
        <v>2</v>
      </c>
      <c r="C236" s="1">
        <v>44595</v>
      </c>
      <c r="D236" s="2">
        <v>0.4145833333333333</v>
      </c>
      <c r="E236" t="s">
        <v>494</v>
      </c>
      <c r="F236" t="s">
        <v>13</v>
      </c>
      <c r="G236" t="s">
        <v>13</v>
      </c>
      <c r="H236" t="s">
        <v>13</v>
      </c>
      <c r="I236" t="s">
        <v>14</v>
      </c>
      <c r="J236" t="s">
        <v>27</v>
      </c>
      <c r="K236" t="s">
        <v>28</v>
      </c>
      <c r="L236" t="s">
        <v>17</v>
      </c>
    </row>
    <row r="237" spans="1:12" x14ac:dyDescent="0.25">
      <c r="A237" t="s">
        <v>495</v>
      </c>
      <c r="B237">
        <v>5</v>
      </c>
      <c r="C237" s="1">
        <v>44595</v>
      </c>
      <c r="D237" s="2">
        <v>0.35000000000000003</v>
      </c>
      <c r="E237" t="s">
        <v>496</v>
      </c>
      <c r="F237" t="s">
        <v>36</v>
      </c>
      <c r="G237" t="s">
        <v>36</v>
      </c>
      <c r="H237" t="s">
        <v>36</v>
      </c>
      <c r="I237" t="s">
        <v>13</v>
      </c>
      <c r="J237" t="s">
        <v>27</v>
      </c>
      <c r="K237" t="s">
        <v>21</v>
      </c>
      <c r="L237" t="s">
        <v>17</v>
      </c>
    </row>
    <row r="238" spans="1:12" x14ac:dyDescent="0.25">
      <c r="A238" t="s">
        <v>497</v>
      </c>
      <c r="B238">
        <v>1</v>
      </c>
      <c r="C238" s="1">
        <v>44595</v>
      </c>
      <c r="D238" s="2">
        <v>0.3347222222222222</v>
      </c>
      <c r="E238" t="s">
        <v>498</v>
      </c>
      <c r="F238" t="s">
        <v>13</v>
      </c>
      <c r="G238" t="s">
        <v>13</v>
      </c>
      <c r="H238" t="s">
        <v>13</v>
      </c>
      <c r="I238" t="s">
        <v>14</v>
      </c>
      <c r="J238" t="s">
        <v>27</v>
      </c>
      <c r="K238" t="s">
        <v>21</v>
      </c>
      <c r="L238" t="s">
        <v>17</v>
      </c>
    </row>
    <row r="239" spans="1:12" x14ac:dyDescent="0.25">
      <c r="A239" t="s">
        <v>499</v>
      </c>
      <c r="B239">
        <v>5</v>
      </c>
      <c r="C239" s="1">
        <v>44595</v>
      </c>
      <c r="D239" s="2">
        <v>0.31805555555555554</v>
      </c>
      <c r="E239" t="s">
        <v>500</v>
      </c>
      <c r="F239" t="s">
        <v>13</v>
      </c>
      <c r="G239" t="s">
        <v>13</v>
      </c>
      <c r="H239" t="s">
        <v>13</v>
      </c>
      <c r="I239" t="s">
        <v>14</v>
      </c>
      <c r="J239" t="s">
        <v>27</v>
      </c>
      <c r="K239" t="s">
        <v>21</v>
      </c>
      <c r="L239" t="s">
        <v>17</v>
      </c>
    </row>
    <row r="240" spans="1:12" x14ac:dyDescent="0.25">
      <c r="A240" t="s">
        <v>501</v>
      </c>
      <c r="B240">
        <v>4</v>
      </c>
      <c r="C240" s="1">
        <v>44595</v>
      </c>
      <c r="D240" s="2">
        <v>0.2902777777777778</v>
      </c>
      <c r="E240" t="s">
        <v>502</v>
      </c>
      <c r="F240" t="s">
        <v>36</v>
      </c>
      <c r="G240" t="s">
        <v>36</v>
      </c>
      <c r="H240" t="s">
        <v>36</v>
      </c>
      <c r="I240" t="s">
        <v>13</v>
      </c>
      <c r="J240" t="s">
        <v>27</v>
      </c>
      <c r="K240" t="s">
        <v>21</v>
      </c>
      <c r="L240" t="s">
        <v>17</v>
      </c>
    </row>
    <row r="241" spans="1:12" x14ac:dyDescent="0.25">
      <c r="A241" t="s">
        <v>503</v>
      </c>
      <c r="B241">
        <v>3</v>
      </c>
      <c r="C241" s="1">
        <v>44595</v>
      </c>
      <c r="D241" s="2">
        <v>0.27847222222222223</v>
      </c>
      <c r="E241" t="s">
        <v>504</v>
      </c>
      <c r="F241" t="s">
        <v>36</v>
      </c>
      <c r="G241" t="s">
        <v>36</v>
      </c>
      <c r="H241" t="s">
        <v>36</v>
      </c>
      <c r="I241" t="s">
        <v>13</v>
      </c>
      <c r="J241" t="s">
        <v>27</v>
      </c>
      <c r="K241" t="s">
        <v>21</v>
      </c>
      <c r="L241" t="s">
        <v>17</v>
      </c>
    </row>
    <row r="242" spans="1:12" x14ac:dyDescent="0.25">
      <c r="A242" t="s">
        <v>505</v>
      </c>
      <c r="B242">
        <v>1</v>
      </c>
      <c r="C242" s="1">
        <v>44595</v>
      </c>
      <c r="D242" s="2">
        <v>0.1875</v>
      </c>
      <c r="E242" t="s">
        <v>506</v>
      </c>
      <c r="F242" t="s">
        <v>13</v>
      </c>
      <c r="G242" t="s">
        <v>13</v>
      </c>
      <c r="H242" t="s">
        <v>13</v>
      </c>
      <c r="I242" t="s">
        <v>14</v>
      </c>
      <c r="J242" t="s">
        <v>27</v>
      </c>
      <c r="K242" t="s">
        <v>21</v>
      </c>
      <c r="L242" t="s">
        <v>17</v>
      </c>
    </row>
    <row r="243" spans="1:12" x14ac:dyDescent="0.25">
      <c r="A243" t="s">
        <v>507</v>
      </c>
      <c r="B243">
        <v>1</v>
      </c>
      <c r="C243" s="1">
        <v>44595</v>
      </c>
      <c r="D243" s="2">
        <v>0.16041666666666668</v>
      </c>
      <c r="E243" t="s">
        <v>508</v>
      </c>
      <c r="F243" t="s">
        <v>13</v>
      </c>
      <c r="G243" t="s">
        <v>13</v>
      </c>
      <c r="H243" t="s">
        <v>13</v>
      </c>
      <c r="I243" t="s">
        <v>14</v>
      </c>
      <c r="J243" t="s">
        <v>27</v>
      </c>
      <c r="K243" t="s">
        <v>21</v>
      </c>
      <c r="L243" t="s">
        <v>17</v>
      </c>
    </row>
    <row r="244" spans="1:12" x14ac:dyDescent="0.25">
      <c r="A244" t="s">
        <v>509</v>
      </c>
      <c r="B244">
        <v>1</v>
      </c>
      <c r="C244" s="1">
        <v>44595</v>
      </c>
      <c r="D244" s="2">
        <v>0.14791666666666667</v>
      </c>
      <c r="E244" t="s">
        <v>510</v>
      </c>
      <c r="F244" t="s">
        <v>13</v>
      </c>
      <c r="G244" t="s">
        <v>13</v>
      </c>
      <c r="H244" t="s">
        <v>13</v>
      </c>
      <c r="I244" t="s">
        <v>14</v>
      </c>
      <c r="J244" t="s">
        <v>27</v>
      </c>
      <c r="K244" t="s">
        <v>28</v>
      </c>
      <c r="L244" t="s">
        <v>17</v>
      </c>
    </row>
    <row r="245" spans="1:12" x14ac:dyDescent="0.25">
      <c r="A245" t="s">
        <v>511</v>
      </c>
      <c r="B245">
        <v>2</v>
      </c>
      <c r="C245" s="1">
        <v>44595</v>
      </c>
      <c r="D245" s="2">
        <v>0.96388888888888891</v>
      </c>
      <c r="E245" t="s">
        <v>512</v>
      </c>
      <c r="F245" t="s">
        <v>13</v>
      </c>
      <c r="G245" t="s">
        <v>13</v>
      </c>
      <c r="H245" t="s">
        <v>13</v>
      </c>
      <c r="I245" t="s">
        <v>14</v>
      </c>
      <c r="J245" t="s">
        <v>27</v>
      </c>
      <c r="K245" t="s">
        <v>28</v>
      </c>
      <c r="L245" t="s">
        <v>17</v>
      </c>
    </row>
    <row r="246" spans="1:12" x14ac:dyDescent="0.25">
      <c r="A246" t="s">
        <v>513</v>
      </c>
      <c r="B246">
        <v>4</v>
      </c>
      <c r="C246" s="1">
        <v>44595</v>
      </c>
      <c r="D246" s="2">
        <v>6.0416666666666667E-2</v>
      </c>
      <c r="E246" t="s">
        <v>514</v>
      </c>
      <c r="F246" t="s">
        <v>31</v>
      </c>
      <c r="G246" t="s">
        <v>31</v>
      </c>
      <c r="H246" t="s">
        <v>31</v>
      </c>
      <c r="I246" t="s">
        <v>32</v>
      </c>
      <c r="J246" t="s">
        <v>27</v>
      </c>
      <c r="K246" t="s">
        <v>21</v>
      </c>
      <c r="L246" t="s">
        <v>33</v>
      </c>
    </row>
    <row r="247" spans="1:12" x14ac:dyDescent="0.25">
      <c r="A247" t="s">
        <v>515</v>
      </c>
      <c r="B247">
        <v>2</v>
      </c>
      <c r="C247" s="1">
        <v>44595</v>
      </c>
      <c r="D247" s="2">
        <v>5.2777777777777778E-2</v>
      </c>
      <c r="E247" t="s">
        <v>516</v>
      </c>
      <c r="F247" t="s">
        <v>13</v>
      </c>
      <c r="G247" t="s">
        <v>13</v>
      </c>
      <c r="H247" t="s">
        <v>13</v>
      </c>
      <c r="I247" t="s">
        <v>14</v>
      </c>
      <c r="J247" t="s">
        <v>27</v>
      </c>
      <c r="K247" t="s">
        <v>28</v>
      </c>
      <c r="L247" t="s">
        <v>17</v>
      </c>
    </row>
    <row r="248" spans="1:12" x14ac:dyDescent="0.25">
      <c r="A248" t="s">
        <v>517</v>
      </c>
      <c r="B248">
        <v>1</v>
      </c>
      <c r="C248" s="1">
        <v>44595</v>
      </c>
      <c r="D248" s="2">
        <v>0.82916666666666661</v>
      </c>
      <c r="E248" t="s">
        <v>518</v>
      </c>
      <c r="F248" t="s">
        <v>13</v>
      </c>
      <c r="G248" t="s">
        <v>13</v>
      </c>
      <c r="H248" t="s">
        <v>13</v>
      </c>
      <c r="I248" t="s">
        <v>14</v>
      </c>
      <c r="J248" t="s">
        <v>27</v>
      </c>
      <c r="K248" t="s">
        <v>21</v>
      </c>
      <c r="L248" t="s">
        <v>17</v>
      </c>
    </row>
    <row r="249" spans="1:12" x14ac:dyDescent="0.25">
      <c r="A249" t="s">
        <v>519</v>
      </c>
      <c r="B249">
        <v>1</v>
      </c>
      <c r="C249" s="1">
        <v>44595</v>
      </c>
      <c r="D249" s="2">
        <v>0.82013888888888886</v>
      </c>
      <c r="E249" t="s">
        <v>520</v>
      </c>
      <c r="F249" t="s">
        <v>13</v>
      </c>
      <c r="G249" t="s">
        <v>13</v>
      </c>
      <c r="H249" t="s">
        <v>13</v>
      </c>
      <c r="I249" t="s">
        <v>14</v>
      </c>
      <c r="J249" t="s">
        <v>27</v>
      </c>
      <c r="K249" t="s">
        <v>21</v>
      </c>
      <c r="L249" t="s">
        <v>17</v>
      </c>
    </row>
    <row r="250" spans="1:12" x14ac:dyDescent="0.25">
      <c r="A250" t="s">
        <v>521</v>
      </c>
      <c r="B250">
        <v>1</v>
      </c>
      <c r="C250" s="1">
        <v>44595</v>
      </c>
      <c r="D250" s="2">
        <v>0.73402777777777783</v>
      </c>
      <c r="E250" t="s">
        <v>522</v>
      </c>
      <c r="F250" t="s">
        <v>13</v>
      </c>
      <c r="G250" t="s">
        <v>13</v>
      </c>
      <c r="H250" t="s">
        <v>13</v>
      </c>
      <c r="I250" t="s">
        <v>14</v>
      </c>
      <c r="J250" t="s">
        <v>27</v>
      </c>
      <c r="K250" t="s">
        <v>21</v>
      </c>
      <c r="L250" t="s">
        <v>17</v>
      </c>
    </row>
    <row r="251" spans="1:12" x14ac:dyDescent="0.25">
      <c r="A251" t="s">
        <v>523</v>
      </c>
      <c r="B251">
        <v>5</v>
      </c>
      <c r="C251" s="1">
        <v>44595</v>
      </c>
      <c r="D251" s="2">
        <v>0.68194444444444446</v>
      </c>
      <c r="E251" t="s">
        <v>524</v>
      </c>
      <c r="F251" t="s">
        <v>36</v>
      </c>
      <c r="G251" t="s">
        <v>36</v>
      </c>
      <c r="H251" t="s">
        <v>36</v>
      </c>
      <c r="I251" t="s">
        <v>13</v>
      </c>
      <c r="J251" t="s">
        <v>27</v>
      </c>
      <c r="K251" t="s">
        <v>21</v>
      </c>
      <c r="L251" t="s">
        <v>17</v>
      </c>
    </row>
    <row r="252" spans="1:12" x14ac:dyDescent="0.25">
      <c r="A252" t="s">
        <v>525</v>
      </c>
      <c r="B252">
        <v>1</v>
      </c>
      <c r="C252" s="1">
        <v>44595</v>
      </c>
      <c r="D252" s="2">
        <v>0.68055555555555547</v>
      </c>
      <c r="E252" t="s">
        <v>526</v>
      </c>
      <c r="F252" t="s">
        <v>13</v>
      </c>
      <c r="G252" t="s">
        <v>13</v>
      </c>
      <c r="H252" t="s">
        <v>13</v>
      </c>
      <c r="I252" t="s">
        <v>14</v>
      </c>
      <c r="J252" t="s">
        <v>27</v>
      </c>
      <c r="K252" t="s">
        <v>21</v>
      </c>
      <c r="L252" t="s">
        <v>17</v>
      </c>
    </row>
    <row r="253" spans="1:12" x14ac:dyDescent="0.25">
      <c r="A253" t="s">
        <v>527</v>
      </c>
      <c r="B253">
        <v>3</v>
      </c>
      <c r="C253" s="1">
        <v>44595</v>
      </c>
      <c r="D253" s="2">
        <v>0.65486111111111112</v>
      </c>
      <c r="E253" t="s">
        <v>528</v>
      </c>
      <c r="F253" t="s">
        <v>31</v>
      </c>
      <c r="G253" t="s">
        <v>31</v>
      </c>
      <c r="H253" t="s">
        <v>31</v>
      </c>
      <c r="I253" t="s">
        <v>32</v>
      </c>
      <c r="J253" t="s">
        <v>27</v>
      </c>
      <c r="K253" t="s">
        <v>21</v>
      </c>
      <c r="L253" t="s">
        <v>33</v>
      </c>
    </row>
    <row r="254" spans="1:12" x14ac:dyDescent="0.25">
      <c r="A254" t="s">
        <v>529</v>
      </c>
      <c r="B254">
        <v>5</v>
      </c>
      <c r="C254" s="1">
        <v>44595</v>
      </c>
      <c r="D254" s="2">
        <v>0.60347222222222219</v>
      </c>
      <c r="E254" t="s">
        <v>530</v>
      </c>
      <c r="F254" t="s">
        <v>36</v>
      </c>
      <c r="G254" t="s">
        <v>36</v>
      </c>
      <c r="H254" t="s">
        <v>36</v>
      </c>
      <c r="I254" t="s">
        <v>13</v>
      </c>
      <c r="J254" t="s">
        <v>27</v>
      </c>
      <c r="K254" t="s">
        <v>21</v>
      </c>
      <c r="L254" t="s">
        <v>17</v>
      </c>
    </row>
    <row r="255" spans="1:12" x14ac:dyDescent="0.25">
      <c r="A255" t="s">
        <v>531</v>
      </c>
      <c r="B255">
        <v>1</v>
      </c>
      <c r="C255" s="1">
        <v>44595</v>
      </c>
      <c r="D255" s="2">
        <v>0.59583333333333333</v>
      </c>
      <c r="E255" t="s">
        <v>532</v>
      </c>
      <c r="F255" t="s">
        <v>13</v>
      </c>
      <c r="G255" t="s">
        <v>13</v>
      </c>
      <c r="H255" t="s">
        <v>13</v>
      </c>
      <c r="I255" t="s">
        <v>14</v>
      </c>
      <c r="J255" t="s">
        <v>27</v>
      </c>
      <c r="K255" t="s">
        <v>28</v>
      </c>
      <c r="L255" t="s">
        <v>17</v>
      </c>
    </row>
    <row r="256" spans="1:12" x14ac:dyDescent="0.25">
      <c r="A256" t="s">
        <v>533</v>
      </c>
      <c r="B256">
        <v>1</v>
      </c>
      <c r="C256" s="1">
        <v>44595</v>
      </c>
      <c r="D256" s="2">
        <v>0.58819444444444446</v>
      </c>
      <c r="E256" t="s">
        <v>534</v>
      </c>
      <c r="F256" t="s">
        <v>13</v>
      </c>
      <c r="G256" t="s">
        <v>13</v>
      </c>
      <c r="H256" t="s">
        <v>13</v>
      </c>
      <c r="I256" t="s">
        <v>14</v>
      </c>
      <c r="J256" t="s">
        <v>27</v>
      </c>
      <c r="K256" t="s">
        <v>21</v>
      </c>
      <c r="L256" t="s">
        <v>17</v>
      </c>
    </row>
    <row r="257" spans="1:12" x14ac:dyDescent="0.25">
      <c r="A257" t="s">
        <v>535</v>
      </c>
      <c r="B257">
        <v>5</v>
      </c>
      <c r="C257" s="1">
        <v>44595</v>
      </c>
      <c r="D257" s="2">
        <v>0.57430555555555551</v>
      </c>
      <c r="E257" t="s">
        <v>536</v>
      </c>
      <c r="F257" t="s">
        <v>36</v>
      </c>
      <c r="G257" t="s">
        <v>36</v>
      </c>
      <c r="H257" t="s">
        <v>36</v>
      </c>
      <c r="I257" t="s">
        <v>13</v>
      </c>
      <c r="J257" t="s">
        <v>27</v>
      </c>
      <c r="K257" t="s">
        <v>21</v>
      </c>
      <c r="L257" t="s">
        <v>17</v>
      </c>
    </row>
    <row r="258" spans="1:12" x14ac:dyDescent="0.25">
      <c r="A258" t="s">
        <v>537</v>
      </c>
      <c r="B258">
        <v>1</v>
      </c>
      <c r="C258" s="1">
        <v>44595</v>
      </c>
      <c r="D258" s="2">
        <v>0.53680555555555554</v>
      </c>
      <c r="E258" t="s">
        <v>538</v>
      </c>
      <c r="F258" t="s">
        <v>13</v>
      </c>
      <c r="G258" t="s">
        <v>13</v>
      </c>
      <c r="H258" t="s">
        <v>13</v>
      </c>
      <c r="I258" t="s">
        <v>14</v>
      </c>
      <c r="J258" t="s">
        <v>27</v>
      </c>
      <c r="K258" t="s">
        <v>28</v>
      </c>
      <c r="L258" t="s">
        <v>17</v>
      </c>
    </row>
    <row r="259" spans="1:12" x14ac:dyDescent="0.25">
      <c r="A259" t="s">
        <v>539</v>
      </c>
      <c r="B259">
        <v>1</v>
      </c>
      <c r="C259" s="1">
        <v>44595</v>
      </c>
      <c r="D259" s="2">
        <v>0.5131944444444444</v>
      </c>
      <c r="E259" t="s">
        <v>540</v>
      </c>
      <c r="F259" t="s">
        <v>13</v>
      </c>
      <c r="G259" t="s">
        <v>13</v>
      </c>
      <c r="H259" t="s">
        <v>13</v>
      </c>
      <c r="I259" t="s">
        <v>14</v>
      </c>
      <c r="J259" t="s">
        <v>27</v>
      </c>
      <c r="K259" t="s">
        <v>28</v>
      </c>
      <c r="L259" t="s">
        <v>17</v>
      </c>
    </row>
    <row r="260" spans="1:12" x14ac:dyDescent="0.25">
      <c r="A260" t="s">
        <v>541</v>
      </c>
      <c r="B260">
        <v>4</v>
      </c>
      <c r="C260" s="1">
        <v>44595</v>
      </c>
      <c r="D260" s="2">
        <v>0.50555555555555554</v>
      </c>
      <c r="E260" t="s">
        <v>542</v>
      </c>
      <c r="F260" t="s">
        <v>36</v>
      </c>
      <c r="G260" t="s">
        <v>36</v>
      </c>
      <c r="H260" t="s">
        <v>36</v>
      </c>
      <c r="I260" t="s">
        <v>13</v>
      </c>
      <c r="J260" t="s">
        <v>27</v>
      </c>
      <c r="K260" t="s">
        <v>16</v>
      </c>
      <c r="L260" t="s">
        <v>17</v>
      </c>
    </row>
    <row r="261" spans="1:12" x14ac:dyDescent="0.25">
      <c r="A261" t="s">
        <v>543</v>
      </c>
      <c r="B261">
        <v>5</v>
      </c>
      <c r="C261" s="1">
        <v>44595</v>
      </c>
      <c r="D261" s="2">
        <v>0.46527777777777773</v>
      </c>
      <c r="E261" t="s">
        <v>544</v>
      </c>
      <c r="F261" t="s">
        <v>36</v>
      </c>
      <c r="G261" t="s">
        <v>36</v>
      </c>
      <c r="H261" t="s">
        <v>36</v>
      </c>
      <c r="I261" t="s">
        <v>13</v>
      </c>
      <c r="J261" t="s">
        <v>27</v>
      </c>
      <c r="K261" t="s">
        <v>28</v>
      </c>
      <c r="L261" t="s">
        <v>17</v>
      </c>
    </row>
    <row r="262" spans="1:12" x14ac:dyDescent="0.25">
      <c r="A262" t="s">
        <v>545</v>
      </c>
      <c r="B262">
        <v>4</v>
      </c>
      <c r="C262" s="1">
        <v>44595</v>
      </c>
      <c r="D262" s="2">
        <v>4.1666666666666666E-3</v>
      </c>
      <c r="E262" t="s">
        <v>546</v>
      </c>
      <c r="F262" t="s">
        <v>36</v>
      </c>
      <c r="G262" t="s">
        <v>36</v>
      </c>
      <c r="H262" t="s">
        <v>36</v>
      </c>
      <c r="I262" t="s">
        <v>13</v>
      </c>
      <c r="J262" t="s">
        <v>27</v>
      </c>
      <c r="K262" t="s">
        <v>21</v>
      </c>
      <c r="L262" t="s">
        <v>17</v>
      </c>
    </row>
    <row r="263" spans="1:12" x14ac:dyDescent="0.25">
      <c r="A263" t="s">
        <v>547</v>
      </c>
      <c r="B263">
        <v>2</v>
      </c>
      <c r="C263" s="1">
        <v>44594</v>
      </c>
      <c r="D263" s="2">
        <v>0.36388888888888887</v>
      </c>
      <c r="E263" t="s">
        <v>548</v>
      </c>
      <c r="F263" t="s">
        <v>13</v>
      </c>
      <c r="G263" t="s">
        <v>13</v>
      </c>
      <c r="H263" t="s">
        <v>13</v>
      </c>
      <c r="I263" t="s">
        <v>14</v>
      </c>
      <c r="J263" t="s">
        <v>27</v>
      </c>
      <c r="K263" t="s">
        <v>21</v>
      </c>
      <c r="L263" t="s">
        <v>17</v>
      </c>
    </row>
    <row r="264" spans="1:12" x14ac:dyDescent="0.25">
      <c r="A264" t="s">
        <v>549</v>
      </c>
      <c r="B264">
        <v>1</v>
      </c>
      <c r="C264" s="1">
        <v>44594</v>
      </c>
      <c r="D264" s="2">
        <v>0.33124999999999999</v>
      </c>
      <c r="E264" t="s">
        <v>550</v>
      </c>
      <c r="F264" t="s">
        <v>13</v>
      </c>
      <c r="G264" t="s">
        <v>13</v>
      </c>
      <c r="H264" t="s">
        <v>13</v>
      </c>
      <c r="I264" t="s">
        <v>14</v>
      </c>
      <c r="J264" t="s">
        <v>27</v>
      </c>
      <c r="K264" t="s">
        <v>21</v>
      </c>
      <c r="L264" t="s">
        <v>17</v>
      </c>
    </row>
    <row r="265" spans="1:12" x14ac:dyDescent="0.25">
      <c r="A265" t="s">
        <v>551</v>
      </c>
      <c r="B265">
        <v>5</v>
      </c>
      <c r="C265" s="1">
        <v>44594</v>
      </c>
      <c r="D265" s="2">
        <v>0.2902777777777778</v>
      </c>
      <c r="E265" t="s">
        <v>552</v>
      </c>
      <c r="F265" t="s">
        <v>36</v>
      </c>
      <c r="G265" t="s">
        <v>36</v>
      </c>
      <c r="H265" t="s">
        <v>36</v>
      </c>
      <c r="I265" t="s">
        <v>13</v>
      </c>
      <c r="J265" t="s">
        <v>27</v>
      </c>
      <c r="K265" t="s">
        <v>21</v>
      </c>
      <c r="L265" t="s">
        <v>17</v>
      </c>
    </row>
    <row r="266" spans="1:12" x14ac:dyDescent="0.25">
      <c r="A266" t="s">
        <v>553</v>
      </c>
      <c r="B266">
        <v>4</v>
      </c>
      <c r="C266" s="1">
        <v>44594</v>
      </c>
      <c r="D266" s="2">
        <v>0.24930555555555556</v>
      </c>
      <c r="E266" t="s">
        <v>554</v>
      </c>
      <c r="F266" t="s">
        <v>13</v>
      </c>
      <c r="G266" t="s">
        <v>13</v>
      </c>
      <c r="H266" t="s">
        <v>13</v>
      </c>
      <c r="I266" t="s">
        <v>14</v>
      </c>
      <c r="J266" t="s">
        <v>27</v>
      </c>
      <c r="K266" t="s">
        <v>21</v>
      </c>
      <c r="L266" t="s">
        <v>17</v>
      </c>
    </row>
    <row r="267" spans="1:12" x14ac:dyDescent="0.25">
      <c r="A267" t="s">
        <v>555</v>
      </c>
      <c r="B267">
        <v>5</v>
      </c>
      <c r="C267" s="1">
        <v>44594</v>
      </c>
      <c r="D267" s="2">
        <v>0.24861111111111112</v>
      </c>
      <c r="E267" t="s">
        <v>556</v>
      </c>
      <c r="F267" t="s">
        <v>36</v>
      </c>
      <c r="G267" t="s">
        <v>36</v>
      </c>
      <c r="H267" t="s">
        <v>36</v>
      </c>
      <c r="I267" t="s">
        <v>13</v>
      </c>
      <c r="J267" t="s">
        <v>27</v>
      </c>
      <c r="K267" t="s">
        <v>28</v>
      </c>
      <c r="L267" t="s">
        <v>17</v>
      </c>
    </row>
    <row r="268" spans="1:12" x14ac:dyDescent="0.25">
      <c r="A268" t="s">
        <v>557</v>
      </c>
      <c r="B268">
        <v>1</v>
      </c>
      <c r="C268" s="1">
        <v>44594</v>
      </c>
      <c r="D268" s="2">
        <v>0.16874999999999998</v>
      </c>
      <c r="E268" t="s">
        <v>558</v>
      </c>
      <c r="F268" t="s">
        <v>13</v>
      </c>
      <c r="G268" t="s">
        <v>13</v>
      </c>
      <c r="H268" t="s">
        <v>13</v>
      </c>
      <c r="I268" t="s">
        <v>14</v>
      </c>
      <c r="J268" t="s">
        <v>27</v>
      </c>
      <c r="K268" t="s">
        <v>28</v>
      </c>
      <c r="L268" t="s">
        <v>17</v>
      </c>
    </row>
    <row r="269" spans="1:12" x14ac:dyDescent="0.25">
      <c r="A269" t="s">
        <v>559</v>
      </c>
      <c r="B269">
        <v>3</v>
      </c>
      <c r="C269" s="1">
        <v>44594</v>
      </c>
      <c r="D269" s="2">
        <v>0.14166666666666666</v>
      </c>
      <c r="E269" t="s">
        <v>560</v>
      </c>
      <c r="F269" t="s">
        <v>31</v>
      </c>
      <c r="G269" t="s">
        <v>31</v>
      </c>
      <c r="H269" t="s">
        <v>31</v>
      </c>
      <c r="I269" t="s">
        <v>32</v>
      </c>
      <c r="J269" t="s">
        <v>27</v>
      </c>
      <c r="K269" t="s">
        <v>21</v>
      </c>
      <c r="L269" t="s">
        <v>33</v>
      </c>
    </row>
    <row r="270" spans="1:12" x14ac:dyDescent="0.25">
      <c r="A270" t="s">
        <v>561</v>
      </c>
      <c r="B270">
        <v>3</v>
      </c>
      <c r="C270" s="1">
        <v>44594</v>
      </c>
      <c r="D270" s="2">
        <v>0.1173611111111111</v>
      </c>
      <c r="E270" t="s">
        <v>562</v>
      </c>
      <c r="F270" t="s">
        <v>31</v>
      </c>
      <c r="G270" t="s">
        <v>31</v>
      </c>
      <c r="H270" t="s">
        <v>31</v>
      </c>
      <c r="I270" t="s">
        <v>32</v>
      </c>
      <c r="J270" t="s">
        <v>27</v>
      </c>
      <c r="K270" t="s">
        <v>21</v>
      </c>
      <c r="L270" t="s">
        <v>33</v>
      </c>
    </row>
    <row r="271" spans="1:12" x14ac:dyDescent="0.25">
      <c r="A271" t="s">
        <v>563</v>
      </c>
      <c r="B271">
        <v>1</v>
      </c>
      <c r="C271" s="1">
        <v>44594</v>
      </c>
      <c r="D271" s="2">
        <v>0.10833333333333334</v>
      </c>
      <c r="E271" t="s">
        <v>564</v>
      </c>
      <c r="F271" t="s">
        <v>13</v>
      </c>
      <c r="G271" t="s">
        <v>13</v>
      </c>
      <c r="H271" t="s">
        <v>13</v>
      </c>
      <c r="I271" t="s">
        <v>14</v>
      </c>
      <c r="J271" t="s">
        <v>27</v>
      </c>
      <c r="K271" t="s">
        <v>21</v>
      </c>
      <c r="L271" t="s">
        <v>17</v>
      </c>
    </row>
    <row r="272" spans="1:12" x14ac:dyDescent="0.25">
      <c r="A272" t="s">
        <v>565</v>
      </c>
      <c r="B272">
        <v>1</v>
      </c>
      <c r="C272" s="1">
        <v>44594</v>
      </c>
      <c r="D272" s="2">
        <v>0.90972222222222221</v>
      </c>
      <c r="E272" t="s">
        <v>566</v>
      </c>
      <c r="F272" t="s">
        <v>13</v>
      </c>
      <c r="G272" t="s">
        <v>13</v>
      </c>
      <c r="H272" t="s">
        <v>13</v>
      </c>
      <c r="I272" t="s">
        <v>14</v>
      </c>
      <c r="J272" t="s">
        <v>27</v>
      </c>
      <c r="K272" t="s">
        <v>21</v>
      </c>
      <c r="L272" t="s">
        <v>17</v>
      </c>
    </row>
    <row r="273" spans="1:12" x14ac:dyDescent="0.25">
      <c r="A273" t="s">
        <v>567</v>
      </c>
      <c r="B273">
        <v>2</v>
      </c>
      <c r="C273" s="1">
        <v>44594</v>
      </c>
      <c r="D273" s="2">
        <v>0.90902777777777777</v>
      </c>
      <c r="E273" t="s">
        <v>568</v>
      </c>
      <c r="F273" t="s">
        <v>13</v>
      </c>
      <c r="G273" t="s">
        <v>13</v>
      </c>
      <c r="H273" t="s">
        <v>13</v>
      </c>
      <c r="I273" t="s">
        <v>14</v>
      </c>
      <c r="J273" t="s">
        <v>27</v>
      </c>
      <c r="K273" t="s">
        <v>21</v>
      </c>
      <c r="L273" t="s">
        <v>17</v>
      </c>
    </row>
    <row r="274" spans="1:12" x14ac:dyDescent="0.25">
      <c r="A274" t="s">
        <v>569</v>
      </c>
      <c r="B274">
        <v>1</v>
      </c>
      <c r="C274" s="1">
        <v>44594</v>
      </c>
      <c r="D274" s="2">
        <v>0.90277777777777779</v>
      </c>
      <c r="E274" t="s">
        <v>570</v>
      </c>
      <c r="F274" t="s">
        <v>36</v>
      </c>
      <c r="G274" t="s">
        <v>36</v>
      </c>
      <c r="H274" t="s">
        <v>36</v>
      </c>
      <c r="I274" t="s">
        <v>13</v>
      </c>
      <c r="J274" t="s">
        <v>27</v>
      </c>
      <c r="K274" t="s">
        <v>21</v>
      </c>
      <c r="L274" t="s">
        <v>17</v>
      </c>
    </row>
    <row r="275" spans="1:12" x14ac:dyDescent="0.25">
      <c r="A275" t="s">
        <v>571</v>
      </c>
      <c r="B275">
        <v>5</v>
      </c>
      <c r="C275" s="1">
        <v>44594</v>
      </c>
      <c r="D275" s="2">
        <v>7.4999999999999997E-2</v>
      </c>
      <c r="E275" t="s">
        <v>572</v>
      </c>
      <c r="F275" t="s">
        <v>31</v>
      </c>
      <c r="G275" t="s">
        <v>31</v>
      </c>
      <c r="H275" t="s">
        <v>31</v>
      </c>
      <c r="I275" t="s">
        <v>32</v>
      </c>
      <c r="J275" t="s">
        <v>27</v>
      </c>
      <c r="K275" t="s">
        <v>21</v>
      </c>
      <c r="L275" t="s">
        <v>33</v>
      </c>
    </row>
    <row r="276" spans="1:12" x14ac:dyDescent="0.25">
      <c r="A276" t="s">
        <v>573</v>
      </c>
      <c r="B276">
        <v>1</v>
      </c>
      <c r="C276" s="1">
        <v>44594</v>
      </c>
      <c r="D276" s="2">
        <v>0.74583333333333324</v>
      </c>
      <c r="E276" t="s">
        <v>574</v>
      </c>
      <c r="F276" t="s">
        <v>13</v>
      </c>
      <c r="G276" t="s">
        <v>13</v>
      </c>
      <c r="H276" t="s">
        <v>13</v>
      </c>
      <c r="I276" t="s">
        <v>14</v>
      </c>
      <c r="J276" t="s">
        <v>27</v>
      </c>
      <c r="K276" t="s">
        <v>21</v>
      </c>
      <c r="L276" t="s">
        <v>17</v>
      </c>
    </row>
    <row r="277" spans="1:12" x14ac:dyDescent="0.25">
      <c r="A277" t="s">
        <v>575</v>
      </c>
      <c r="B277">
        <v>2</v>
      </c>
      <c r="C277" s="1">
        <v>44594</v>
      </c>
      <c r="D277" s="2">
        <v>0.72986111111111107</v>
      </c>
      <c r="E277" t="s">
        <v>576</v>
      </c>
      <c r="F277" t="s">
        <v>13</v>
      </c>
      <c r="G277" t="s">
        <v>13</v>
      </c>
      <c r="H277" t="s">
        <v>13</v>
      </c>
      <c r="I277" t="s">
        <v>14</v>
      </c>
      <c r="J277" t="s">
        <v>27</v>
      </c>
      <c r="K277" t="s">
        <v>21</v>
      </c>
      <c r="L277" t="s">
        <v>17</v>
      </c>
    </row>
    <row r="278" spans="1:12" x14ac:dyDescent="0.25">
      <c r="A278" t="s">
        <v>577</v>
      </c>
      <c r="B278">
        <v>1</v>
      </c>
      <c r="C278" s="1">
        <v>44594</v>
      </c>
      <c r="D278" s="2">
        <v>0.70416666666666661</v>
      </c>
      <c r="E278" t="s">
        <v>578</v>
      </c>
      <c r="F278" t="s">
        <v>13</v>
      </c>
      <c r="G278" t="s">
        <v>13</v>
      </c>
      <c r="H278" t="s">
        <v>13</v>
      </c>
      <c r="I278" t="s">
        <v>14</v>
      </c>
      <c r="J278" t="s">
        <v>27</v>
      </c>
      <c r="K278" t="s">
        <v>21</v>
      </c>
      <c r="L278" t="s">
        <v>17</v>
      </c>
    </row>
    <row r="279" spans="1:12" x14ac:dyDescent="0.25">
      <c r="A279" t="s">
        <v>579</v>
      </c>
      <c r="B279">
        <v>5</v>
      </c>
      <c r="C279" s="1">
        <v>44594</v>
      </c>
      <c r="D279" s="2">
        <v>0.68263888888888891</v>
      </c>
      <c r="E279" t="s">
        <v>580</v>
      </c>
      <c r="F279" t="s">
        <v>31</v>
      </c>
      <c r="G279" t="s">
        <v>31</v>
      </c>
      <c r="H279" t="s">
        <v>31</v>
      </c>
      <c r="I279" t="s">
        <v>32</v>
      </c>
      <c r="J279" t="s">
        <v>27</v>
      </c>
      <c r="K279" t="s">
        <v>21</v>
      </c>
      <c r="L279" t="s">
        <v>33</v>
      </c>
    </row>
    <row r="280" spans="1:12" x14ac:dyDescent="0.25">
      <c r="A280" t="s">
        <v>581</v>
      </c>
      <c r="B280">
        <v>5</v>
      </c>
      <c r="C280" s="1">
        <v>44594</v>
      </c>
      <c r="D280" s="2">
        <v>0.67013888888888884</v>
      </c>
      <c r="E280" t="s">
        <v>582</v>
      </c>
      <c r="F280" t="s">
        <v>36</v>
      </c>
      <c r="G280" t="s">
        <v>36</v>
      </c>
      <c r="H280" t="s">
        <v>36</v>
      </c>
      <c r="I280" t="s">
        <v>13</v>
      </c>
      <c r="J280" t="s">
        <v>27</v>
      </c>
      <c r="K280" t="s">
        <v>28</v>
      </c>
      <c r="L280" t="s">
        <v>17</v>
      </c>
    </row>
    <row r="281" spans="1:12" x14ac:dyDescent="0.25">
      <c r="A281" t="s">
        <v>583</v>
      </c>
      <c r="B281">
        <v>1</v>
      </c>
      <c r="C281" s="1">
        <v>44594</v>
      </c>
      <c r="D281" s="2">
        <v>0.64444444444444449</v>
      </c>
      <c r="E281" t="s">
        <v>584</v>
      </c>
      <c r="F281" t="s">
        <v>13</v>
      </c>
      <c r="G281" t="s">
        <v>13</v>
      </c>
      <c r="H281" t="s">
        <v>13</v>
      </c>
      <c r="I281" t="s">
        <v>14</v>
      </c>
      <c r="J281" t="s">
        <v>27</v>
      </c>
      <c r="K281" t="s">
        <v>21</v>
      </c>
      <c r="L281" t="s">
        <v>17</v>
      </c>
    </row>
    <row r="282" spans="1:12" x14ac:dyDescent="0.25">
      <c r="A282" t="s">
        <v>585</v>
      </c>
      <c r="B282">
        <v>1</v>
      </c>
      <c r="C282" s="1">
        <v>44594</v>
      </c>
      <c r="D282" s="2">
        <v>0.63958333333333328</v>
      </c>
      <c r="E282" t="s">
        <v>586</v>
      </c>
      <c r="F282" t="s">
        <v>13</v>
      </c>
      <c r="G282" t="s">
        <v>13</v>
      </c>
      <c r="H282" t="s">
        <v>13</v>
      </c>
      <c r="I282" t="s">
        <v>14</v>
      </c>
      <c r="J282" t="s">
        <v>27</v>
      </c>
      <c r="K282" t="s">
        <v>21</v>
      </c>
      <c r="L282" t="s">
        <v>17</v>
      </c>
    </row>
    <row r="283" spans="1:12" x14ac:dyDescent="0.25">
      <c r="A283" t="s">
        <v>587</v>
      </c>
      <c r="B283">
        <v>1</v>
      </c>
      <c r="C283" s="1">
        <v>44594</v>
      </c>
      <c r="D283" s="2">
        <v>0.61875000000000002</v>
      </c>
      <c r="E283" t="s">
        <v>588</v>
      </c>
      <c r="F283" t="s">
        <v>13</v>
      </c>
      <c r="G283" t="s">
        <v>13</v>
      </c>
      <c r="H283" t="s">
        <v>13</v>
      </c>
      <c r="I283" t="s">
        <v>14</v>
      </c>
      <c r="J283" t="s">
        <v>27</v>
      </c>
      <c r="K283" t="s">
        <v>21</v>
      </c>
      <c r="L283" t="s">
        <v>17</v>
      </c>
    </row>
    <row r="284" spans="1:12" x14ac:dyDescent="0.25">
      <c r="A284" t="s">
        <v>589</v>
      </c>
      <c r="B284">
        <v>1</v>
      </c>
      <c r="C284" s="1">
        <v>44594</v>
      </c>
      <c r="D284" s="2">
        <v>0.57222222222222219</v>
      </c>
      <c r="E284" t="s">
        <v>590</v>
      </c>
      <c r="F284" t="s">
        <v>13</v>
      </c>
      <c r="G284" t="s">
        <v>13</v>
      </c>
      <c r="H284" t="s">
        <v>13</v>
      </c>
      <c r="I284" t="s">
        <v>14</v>
      </c>
      <c r="J284" t="s">
        <v>27</v>
      </c>
      <c r="K284" t="s">
        <v>21</v>
      </c>
      <c r="L284" t="s">
        <v>17</v>
      </c>
    </row>
    <row r="285" spans="1:12" x14ac:dyDescent="0.25">
      <c r="A285" t="s">
        <v>591</v>
      </c>
      <c r="B285">
        <v>5</v>
      </c>
      <c r="C285" s="1">
        <v>44594</v>
      </c>
      <c r="D285" s="2">
        <v>0.56180555555555556</v>
      </c>
      <c r="E285" t="s">
        <v>592</v>
      </c>
      <c r="F285" t="s">
        <v>36</v>
      </c>
      <c r="G285" t="s">
        <v>36</v>
      </c>
      <c r="H285" t="s">
        <v>36</v>
      </c>
      <c r="I285" t="s">
        <v>13</v>
      </c>
      <c r="J285" t="s">
        <v>27</v>
      </c>
      <c r="K285" t="s">
        <v>16</v>
      </c>
      <c r="L285" t="s">
        <v>17</v>
      </c>
    </row>
    <row r="286" spans="1:12" x14ac:dyDescent="0.25">
      <c r="A286" t="s">
        <v>593</v>
      </c>
      <c r="B286">
        <v>3</v>
      </c>
      <c r="C286" s="1">
        <v>44594</v>
      </c>
      <c r="D286" s="2">
        <v>0.5541666666666667</v>
      </c>
      <c r="E286" t="s">
        <v>594</v>
      </c>
      <c r="F286" t="s">
        <v>13</v>
      </c>
      <c r="G286" t="s">
        <v>13</v>
      </c>
      <c r="H286" t="s">
        <v>13</v>
      </c>
      <c r="I286" t="s">
        <v>14</v>
      </c>
      <c r="J286" t="s">
        <v>27</v>
      </c>
      <c r="K286" t="s">
        <v>16</v>
      </c>
      <c r="L286" t="s">
        <v>17</v>
      </c>
    </row>
    <row r="287" spans="1:12" x14ac:dyDescent="0.25">
      <c r="A287" t="s">
        <v>595</v>
      </c>
      <c r="B287">
        <v>3</v>
      </c>
      <c r="C287" s="1">
        <v>44594</v>
      </c>
      <c r="D287" s="2">
        <v>0.51666666666666672</v>
      </c>
      <c r="E287" t="s">
        <v>596</v>
      </c>
      <c r="F287" t="s">
        <v>13</v>
      </c>
      <c r="G287" t="s">
        <v>13</v>
      </c>
      <c r="H287" t="s">
        <v>13</v>
      </c>
      <c r="I287" t="s">
        <v>14</v>
      </c>
      <c r="J287" t="s">
        <v>27</v>
      </c>
      <c r="K287" t="s">
        <v>21</v>
      </c>
      <c r="L287" t="s">
        <v>17</v>
      </c>
    </row>
    <row r="288" spans="1:12" x14ac:dyDescent="0.25">
      <c r="A288" t="s">
        <v>597</v>
      </c>
      <c r="B288">
        <v>4</v>
      </c>
      <c r="C288" s="1">
        <v>44594</v>
      </c>
      <c r="D288" s="2">
        <v>0.49583333333333335</v>
      </c>
      <c r="E288" t="s">
        <v>598</v>
      </c>
      <c r="F288" t="s">
        <v>31</v>
      </c>
      <c r="G288" t="s">
        <v>31</v>
      </c>
      <c r="H288" t="s">
        <v>31</v>
      </c>
      <c r="I288" t="s">
        <v>32</v>
      </c>
      <c r="J288" t="s">
        <v>27</v>
      </c>
      <c r="K288" t="s">
        <v>21</v>
      </c>
      <c r="L288" t="s">
        <v>33</v>
      </c>
    </row>
    <row r="289" spans="1:12" x14ac:dyDescent="0.25">
      <c r="A289" t="s">
        <v>599</v>
      </c>
      <c r="B289">
        <v>5</v>
      </c>
      <c r="C289" s="1">
        <v>44594</v>
      </c>
      <c r="D289" s="2">
        <v>0.47222222222222227</v>
      </c>
      <c r="E289" t="s">
        <v>600</v>
      </c>
      <c r="F289" t="s">
        <v>36</v>
      </c>
      <c r="G289" t="s">
        <v>36</v>
      </c>
      <c r="H289" t="s">
        <v>36</v>
      </c>
      <c r="I289" t="s">
        <v>13</v>
      </c>
      <c r="J289" t="s">
        <v>27</v>
      </c>
      <c r="K289" t="s">
        <v>21</v>
      </c>
      <c r="L289" t="s">
        <v>17</v>
      </c>
    </row>
    <row r="290" spans="1:12" x14ac:dyDescent="0.25">
      <c r="A290" t="s">
        <v>601</v>
      </c>
      <c r="B290">
        <v>1</v>
      </c>
      <c r="C290" s="1">
        <v>44594</v>
      </c>
      <c r="D290" s="2">
        <v>0.46666666666666662</v>
      </c>
      <c r="E290" t="s">
        <v>602</v>
      </c>
      <c r="F290" t="s">
        <v>13</v>
      </c>
      <c r="G290" t="s">
        <v>13</v>
      </c>
      <c r="H290" t="s">
        <v>13</v>
      </c>
      <c r="I290" t="s">
        <v>14</v>
      </c>
      <c r="J290" t="s">
        <v>27</v>
      </c>
      <c r="K290" t="s">
        <v>21</v>
      </c>
      <c r="L290" t="s">
        <v>17</v>
      </c>
    </row>
    <row r="291" spans="1:12" x14ac:dyDescent="0.25">
      <c r="A291" t="s">
        <v>603</v>
      </c>
      <c r="B291">
        <v>1</v>
      </c>
      <c r="C291" s="1">
        <v>44594</v>
      </c>
      <c r="D291" s="2">
        <v>0.4604166666666667</v>
      </c>
      <c r="E291" t="s">
        <v>604</v>
      </c>
      <c r="F291" t="s">
        <v>13</v>
      </c>
      <c r="G291" t="s">
        <v>13</v>
      </c>
      <c r="H291" t="s">
        <v>13</v>
      </c>
      <c r="I291" t="s">
        <v>14</v>
      </c>
      <c r="J291" t="s">
        <v>27</v>
      </c>
      <c r="K291" t="s">
        <v>21</v>
      </c>
      <c r="L291" t="s">
        <v>17</v>
      </c>
    </row>
    <row r="292" spans="1:12" x14ac:dyDescent="0.25">
      <c r="A292" t="s">
        <v>605</v>
      </c>
      <c r="B292">
        <v>3</v>
      </c>
      <c r="C292" s="1">
        <v>44594</v>
      </c>
      <c r="D292" s="2">
        <v>0.44236111111111115</v>
      </c>
      <c r="E292" t="s">
        <v>606</v>
      </c>
      <c r="F292" t="s">
        <v>31</v>
      </c>
      <c r="G292" t="s">
        <v>31</v>
      </c>
      <c r="H292" t="s">
        <v>31</v>
      </c>
      <c r="I292" t="s">
        <v>32</v>
      </c>
      <c r="J292" t="s">
        <v>27</v>
      </c>
      <c r="K292" t="s">
        <v>21</v>
      </c>
      <c r="L292" t="s">
        <v>33</v>
      </c>
    </row>
    <row r="293" spans="1:12" x14ac:dyDescent="0.25">
      <c r="A293" t="s">
        <v>607</v>
      </c>
      <c r="B293">
        <v>5</v>
      </c>
      <c r="C293" s="1">
        <v>44594</v>
      </c>
      <c r="D293" s="2">
        <v>0.44166666666666665</v>
      </c>
      <c r="E293" t="s">
        <v>608</v>
      </c>
      <c r="F293" t="s">
        <v>36</v>
      </c>
      <c r="G293" t="s">
        <v>36</v>
      </c>
      <c r="H293" t="s">
        <v>36</v>
      </c>
      <c r="I293" t="s">
        <v>13</v>
      </c>
      <c r="J293" t="s">
        <v>27</v>
      </c>
      <c r="K293" t="s">
        <v>21</v>
      </c>
      <c r="L293" t="s">
        <v>17</v>
      </c>
    </row>
    <row r="294" spans="1:12" x14ac:dyDescent="0.25">
      <c r="A294" t="s">
        <v>609</v>
      </c>
      <c r="B294">
        <v>5</v>
      </c>
      <c r="C294" s="1">
        <v>44594</v>
      </c>
      <c r="D294" s="2">
        <v>0.4201388888888889</v>
      </c>
      <c r="E294" t="s">
        <v>610</v>
      </c>
      <c r="F294" t="s">
        <v>36</v>
      </c>
      <c r="G294" t="s">
        <v>36</v>
      </c>
      <c r="H294" t="s">
        <v>36</v>
      </c>
      <c r="I294" t="s">
        <v>13</v>
      </c>
      <c r="J294" t="s">
        <v>27</v>
      </c>
      <c r="K294" t="s">
        <v>21</v>
      </c>
      <c r="L294" t="s">
        <v>17</v>
      </c>
    </row>
    <row r="295" spans="1:12" x14ac:dyDescent="0.25">
      <c r="A295" t="s">
        <v>611</v>
      </c>
      <c r="B295">
        <v>1</v>
      </c>
      <c r="C295" s="1">
        <v>44593</v>
      </c>
      <c r="D295" s="2">
        <v>0.38125000000000003</v>
      </c>
      <c r="E295" t="s">
        <v>612</v>
      </c>
      <c r="F295" t="s">
        <v>13</v>
      </c>
      <c r="G295" t="s">
        <v>13</v>
      </c>
      <c r="H295" t="s">
        <v>13</v>
      </c>
      <c r="I295" t="s">
        <v>14</v>
      </c>
      <c r="J295" t="s">
        <v>27</v>
      </c>
      <c r="K295" t="s">
        <v>21</v>
      </c>
      <c r="L295" t="s">
        <v>17</v>
      </c>
    </row>
    <row r="296" spans="1:12" x14ac:dyDescent="0.25">
      <c r="A296" t="s">
        <v>613</v>
      </c>
      <c r="B296">
        <v>3</v>
      </c>
      <c r="C296" s="1">
        <v>44593</v>
      </c>
      <c r="D296" s="2">
        <v>0.10902777777777778</v>
      </c>
      <c r="E296" t="s">
        <v>614</v>
      </c>
      <c r="F296" t="s">
        <v>31</v>
      </c>
      <c r="G296" t="s">
        <v>31</v>
      </c>
      <c r="H296" t="s">
        <v>31</v>
      </c>
      <c r="I296" t="s">
        <v>32</v>
      </c>
      <c r="J296" t="s">
        <v>27</v>
      </c>
      <c r="K296" t="s">
        <v>28</v>
      </c>
      <c r="L296" t="s">
        <v>33</v>
      </c>
    </row>
    <row r="297" spans="1:12" x14ac:dyDescent="0.25">
      <c r="A297" t="s">
        <v>615</v>
      </c>
      <c r="B297">
        <v>1</v>
      </c>
      <c r="C297" s="1">
        <v>44593</v>
      </c>
      <c r="D297" s="2">
        <v>0.92291666666666661</v>
      </c>
      <c r="E297" t="s">
        <v>616</v>
      </c>
      <c r="F297" t="s">
        <v>13</v>
      </c>
      <c r="G297" t="s">
        <v>13</v>
      </c>
      <c r="H297" t="s">
        <v>13</v>
      </c>
      <c r="I297" t="s">
        <v>14</v>
      </c>
      <c r="J297" t="s">
        <v>27</v>
      </c>
      <c r="K297" t="s">
        <v>28</v>
      </c>
      <c r="L297" t="s">
        <v>17</v>
      </c>
    </row>
    <row r="298" spans="1:12" x14ac:dyDescent="0.25">
      <c r="A298" t="s">
        <v>617</v>
      </c>
      <c r="B298">
        <v>1</v>
      </c>
      <c r="C298" s="1">
        <v>44593</v>
      </c>
      <c r="D298" s="2">
        <v>6.5277777777777782E-2</v>
      </c>
      <c r="E298" t="s">
        <v>618</v>
      </c>
      <c r="F298" t="s">
        <v>13</v>
      </c>
      <c r="G298" t="s">
        <v>13</v>
      </c>
      <c r="H298" t="s">
        <v>13</v>
      </c>
      <c r="I298" t="s">
        <v>14</v>
      </c>
      <c r="J298" t="s">
        <v>27</v>
      </c>
      <c r="K298" t="s">
        <v>21</v>
      </c>
      <c r="L298" t="s">
        <v>17</v>
      </c>
    </row>
    <row r="299" spans="1:12" x14ac:dyDescent="0.25">
      <c r="A299" t="s">
        <v>619</v>
      </c>
      <c r="B299">
        <v>1</v>
      </c>
      <c r="C299" s="1">
        <v>44593</v>
      </c>
      <c r="D299" s="2">
        <v>0.77222222222222225</v>
      </c>
      <c r="E299" t="s">
        <v>620</v>
      </c>
      <c r="F299" t="s">
        <v>13</v>
      </c>
      <c r="G299" t="s">
        <v>13</v>
      </c>
      <c r="H299" t="s">
        <v>13</v>
      </c>
      <c r="I299" t="s">
        <v>14</v>
      </c>
      <c r="J299" t="s">
        <v>27</v>
      </c>
      <c r="K299" t="s">
        <v>21</v>
      </c>
      <c r="L299" t="s">
        <v>17</v>
      </c>
    </row>
    <row r="300" spans="1:12" x14ac:dyDescent="0.25">
      <c r="A300" t="s">
        <v>621</v>
      </c>
      <c r="B300">
        <v>1</v>
      </c>
      <c r="C300" s="1">
        <v>44593</v>
      </c>
      <c r="D300" s="2">
        <v>0.75763888888888886</v>
      </c>
      <c r="E300" t="s">
        <v>622</v>
      </c>
      <c r="F300" t="s">
        <v>13</v>
      </c>
      <c r="G300" t="s">
        <v>13</v>
      </c>
      <c r="H300" t="s">
        <v>13</v>
      </c>
      <c r="I300" t="s">
        <v>14</v>
      </c>
      <c r="J300" t="s">
        <v>27</v>
      </c>
      <c r="K300" t="s">
        <v>21</v>
      </c>
      <c r="L300" t="s">
        <v>17</v>
      </c>
    </row>
    <row r="301" spans="1:12" x14ac:dyDescent="0.25">
      <c r="A301" t="s">
        <v>623</v>
      </c>
      <c r="B301">
        <v>3</v>
      </c>
      <c r="C301" s="1">
        <v>44593</v>
      </c>
      <c r="D301" s="2">
        <v>0.70694444444444438</v>
      </c>
      <c r="E301" t="s">
        <v>624</v>
      </c>
      <c r="F301" t="s">
        <v>36</v>
      </c>
      <c r="G301" t="s">
        <v>36</v>
      </c>
      <c r="H301" t="s">
        <v>36</v>
      </c>
      <c r="I301" t="s">
        <v>13</v>
      </c>
      <c r="J301" t="s">
        <v>27</v>
      </c>
      <c r="K301" t="s">
        <v>21</v>
      </c>
      <c r="L301" t="s">
        <v>17</v>
      </c>
    </row>
    <row r="302" spans="1:12" x14ac:dyDescent="0.25">
      <c r="A302" t="s">
        <v>625</v>
      </c>
      <c r="B302">
        <v>2</v>
      </c>
      <c r="C302" s="1">
        <v>44593</v>
      </c>
      <c r="D302" s="2">
        <v>0.63124999999999998</v>
      </c>
      <c r="E302" t="s">
        <v>626</v>
      </c>
      <c r="F302" t="s">
        <v>31</v>
      </c>
      <c r="G302" t="s">
        <v>31</v>
      </c>
      <c r="H302" t="s">
        <v>31</v>
      </c>
      <c r="I302" t="s">
        <v>32</v>
      </c>
      <c r="J302" t="s">
        <v>27</v>
      </c>
      <c r="K302" t="s">
        <v>21</v>
      </c>
      <c r="L302" t="s">
        <v>33</v>
      </c>
    </row>
    <row r="303" spans="1:12" x14ac:dyDescent="0.25">
      <c r="A303" t="s">
        <v>627</v>
      </c>
      <c r="B303">
        <v>1</v>
      </c>
      <c r="C303" s="1">
        <v>44593</v>
      </c>
      <c r="D303" s="2">
        <v>0.60555555555555551</v>
      </c>
      <c r="E303" t="s">
        <v>628</v>
      </c>
      <c r="F303" t="s">
        <v>13</v>
      </c>
      <c r="G303" t="s">
        <v>13</v>
      </c>
      <c r="H303" t="s">
        <v>13</v>
      </c>
      <c r="I303" t="s">
        <v>14</v>
      </c>
      <c r="J303" t="s">
        <v>27</v>
      </c>
      <c r="K303" t="s">
        <v>21</v>
      </c>
      <c r="L303" t="s">
        <v>17</v>
      </c>
    </row>
    <row r="304" spans="1:12" x14ac:dyDescent="0.25">
      <c r="A304" t="s">
        <v>629</v>
      </c>
      <c r="B304">
        <v>1</v>
      </c>
      <c r="C304" s="1">
        <v>44593</v>
      </c>
      <c r="D304" s="2">
        <v>0.55138888888888882</v>
      </c>
      <c r="E304" t="s">
        <v>630</v>
      </c>
      <c r="F304" t="s">
        <v>13</v>
      </c>
      <c r="G304" t="s">
        <v>13</v>
      </c>
      <c r="H304" t="s">
        <v>13</v>
      </c>
      <c r="I304" t="s">
        <v>14</v>
      </c>
      <c r="J304" t="s">
        <v>27</v>
      </c>
      <c r="K304" t="s">
        <v>21</v>
      </c>
      <c r="L304" t="s">
        <v>17</v>
      </c>
    </row>
    <row r="305" spans="1:12" x14ac:dyDescent="0.25">
      <c r="A305" t="s">
        <v>631</v>
      </c>
      <c r="B305">
        <v>1</v>
      </c>
      <c r="C305" s="1">
        <v>44593</v>
      </c>
      <c r="D305" s="2">
        <v>0.55069444444444449</v>
      </c>
      <c r="E305" t="s">
        <v>632</v>
      </c>
      <c r="F305" t="s">
        <v>13</v>
      </c>
      <c r="G305" t="s">
        <v>13</v>
      </c>
      <c r="H305" t="s">
        <v>13</v>
      </c>
      <c r="I305" t="s">
        <v>14</v>
      </c>
      <c r="J305" t="s">
        <v>27</v>
      </c>
      <c r="K305" t="s">
        <v>21</v>
      </c>
      <c r="L305" t="s">
        <v>17</v>
      </c>
    </row>
    <row r="306" spans="1:12" x14ac:dyDescent="0.25">
      <c r="A306" t="s">
        <v>633</v>
      </c>
      <c r="B306">
        <v>5</v>
      </c>
      <c r="C306" s="1">
        <v>44593</v>
      </c>
      <c r="D306" s="2">
        <v>0.44305555555555554</v>
      </c>
      <c r="E306" t="s">
        <v>634</v>
      </c>
      <c r="F306" t="s">
        <v>13</v>
      </c>
      <c r="G306" t="s">
        <v>13</v>
      </c>
      <c r="H306" t="s">
        <v>13</v>
      </c>
      <c r="I306" t="s">
        <v>14</v>
      </c>
      <c r="J306" t="s">
        <v>27</v>
      </c>
      <c r="K306" t="s">
        <v>21</v>
      </c>
      <c r="L306" t="s">
        <v>17</v>
      </c>
    </row>
    <row r="307" spans="1:12" x14ac:dyDescent="0.25">
      <c r="A307" t="s">
        <v>635</v>
      </c>
      <c r="B307">
        <v>2</v>
      </c>
      <c r="C307" s="1">
        <v>44593</v>
      </c>
      <c r="D307" s="2">
        <v>2.7777777777777776E-2</v>
      </c>
      <c r="E307" t="s">
        <v>636</v>
      </c>
      <c r="F307" t="s">
        <v>13</v>
      </c>
      <c r="G307" t="s">
        <v>13</v>
      </c>
      <c r="H307" t="s">
        <v>13</v>
      </c>
      <c r="I307" t="s">
        <v>14</v>
      </c>
      <c r="J307" t="s">
        <v>27</v>
      </c>
      <c r="K307" t="s">
        <v>21</v>
      </c>
      <c r="L307" t="s">
        <v>17</v>
      </c>
    </row>
    <row r="308" spans="1:12" x14ac:dyDescent="0.25">
      <c r="A308" t="s">
        <v>637</v>
      </c>
      <c r="B308">
        <v>1</v>
      </c>
      <c r="C308" s="1">
        <v>44592</v>
      </c>
      <c r="D308" s="2">
        <v>0.29375000000000001</v>
      </c>
      <c r="E308" t="s">
        <v>638</v>
      </c>
      <c r="F308" t="s">
        <v>13</v>
      </c>
      <c r="G308" t="s">
        <v>13</v>
      </c>
      <c r="H308" t="s">
        <v>13</v>
      </c>
      <c r="I308" t="s">
        <v>14</v>
      </c>
      <c r="J308" t="s">
        <v>27</v>
      </c>
      <c r="K308" t="s">
        <v>21</v>
      </c>
      <c r="L308" t="s">
        <v>17</v>
      </c>
    </row>
    <row r="309" spans="1:12" x14ac:dyDescent="0.25">
      <c r="A309" t="s">
        <v>639</v>
      </c>
      <c r="B309">
        <v>1</v>
      </c>
      <c r="C309" s="1">
        <v>44592</v>
      </c>
      <c r="D309" s="2">
        <v>0.28541666666666665</v>
      </c>
      <c r="E309" t="s">
        <v>640</v>
      </c>
      <c r="F309" t="s">
        <v>13</v>
      </c>
      <c r="G309" t="s">
        <v>13</v>
      </c>
      <c r="H309" t="s">
        <v>13</v>
      </c>
      <c r="I309" t="s">
        <v>14</v>
      </c>
      <c r="J309" t="s">
        <v>27</v>
      </c>
      <c r="K309" t="s">
        <v>21</v>
      </c>
      <c r="L309" t="s">
        <v>17</v>
      </c>
    </row>
    <row r="310" spans="1:12" x14ac:dyDescent="0.25">
      <c r="A310" t="s">
        <v>641</v>
      </c>
      <c r="B310">
        <v>5</v>
      </c>
      <c r="C310" s="1">
        <v>44592</v>
      </c>
      <c r="D310" s="2">
        <v>0.22847222222222222</v>
      </c>
      <c r="E310" t="s">
        <v>642</v>
      </c>
      <c r="F310" t="s">
        <v>36</v>
      </c>
      <c r="G310" t="s">
        <v>36</v>
      </c>
      <c r="H310" t="s">
        <v>36</v>
      </c>
      <c r="I310" t="s">
        <v>13</v>
      </c>
      <c r="J310" t="s">
        <v>27</v>
      </c>
      <c r="K310" t="s">
        <v>21</v>
      </c>
      <c r="L310" t="s">
        <v>17</v>
      </c>
    </row>
    <row r="311" spans="1:12" x14ac:dyDescent="0.25">
      <c r="A311" t="s">
        <v>643</v>
      </c>
      <c r="B311">
        <v>1</v>
      </c>
      <c r="C311" s="1">
        <v>44592</v>
      </c>
      <c r="D311" s="2">
        <v>0.78333333333333333</v>
      </c>
      <c r="E311" t="s">
        <v>644</v>
      </c>
      <c r="F311" t="s">
        <v>13</v>
      </c>
      <c r="G311" t="s">
        <v>13</v>
      </c>
      <c r="H311" t="s">
        <v>13</v>
      </c>
      <c r="I311" t="s">
        <v>14</v>
      </c>
      <c r="J311" t="s">
        <v>27</v>
      </c>
      <c r="K311" t="s">
        <v>21</v>
      </c>
      <c r="L311" t="s">
        <v>17</v>
      </c>
    </row>
    <row r="312" spans="1:12" x14ac:dyDescent="0.25">
      <c r="A312" t="s">
        <v>645</v>
      </c>
      <c r="B312">
        <v>1</v>
      </c>
      <c r="C312" s="1">
        <v>44592</v>
      </c>
      <c r="D312" s="2">
        <v>0.74097222222222225</v>
      </c>
      <c r="E312" t="s">
        <v>646</v>
      </c>
      <c r="F312" t="s">
        <v>13</v>
      </c>
      <c r="G312" t="s">
        <v>13</v>
      </c>
      <c r="H312" t="s">
        <v>13</v>
      </c>
      <c r="I312" t="s">
        <v>14</v>
      </c>
      <c r="J312" t="s">
        <v>27</v>
      </c>
      <c r="K312" t="s">
        <v>28</v>
      </c>
      <c r="L312" t="s">
        <v>17</v>
      </c>
    </row>
    <row r="313" spans="1:12" x14ac:dyDescent="0.25">
      <c r="A313" t="s">
        <v>647</v>
      </c>
      <c r="B313">
        <v>1</v>
      </c>
      <c r="C313" s="1">
        <v>44592</v>
      </c>
      <c r="D313" s="2">
        <v>0.71944444444444444</v>
      </c>
      <c r="E313" t="s">
        <v>648</v>
      </c>
      <c r="F313" t="s">
        <v>13</v>
      </c>
      <c r="G313" t="s">
        <v>13</v>
      </c>
      <c r="H313" t="s">
        <v>13</v>
      </c>
      <c r="I313" t="s">
        <v>14</v>
      </c>
      <c r="J313" t="s">
        <v>27</v>
      </c>
      <c r="K313" t="s">
        <v>21</v>
      </c>
      <c r="L313" t="s">
        <v>17</v>
      </c>
    </row>
    <row r="314" spans="1:12" x14ac:dyDescent="0.25">
      <c r="A314" t="s">
        <v>649</v>
      </c>
      <c r="B314">
        <v>1</v>
      </c>
      <c r="C314" s="1">
        <v>44592</v>
      </c>
      <c r="D314" s="2">
        <v>0.45833333333333331</v>
      </c>
      <c r="E314" t="s">
        <v>650</v>
      </c>
      <c r="F314" t="s">
        <v>13</v>
      </c>
      <c r="G314" t="s">
        <v>13</v>
      </c>
      <c r="H314" t="s">
        <v>13</v>
      </c>
      <c r="I314" t="s">
        <v>14</v>
      </c>
      <c r="J314" t="s">
        <v>27</v>
      </c>
      <c r="K314" t="s">
        <v>16</v>
      </c>
      <c r="L314" t="s">
        <v>17</v>
      </c>
    </row>
    <row r="315" spans="1:12" x14ac:dyDescent="0.25">
      <c r="A315" t="s">
        <v>651</v>
      </c>
      <c r="B315">
        <v>4</v>
      </c>
      <c r="C315" s="1">
        <v>44591</v>
      </c>
      <c r="D315" s="2">
        <v>0.29097222222222224</v>
      </c>
      <c r="E315" t="s">
        <v>652</v>
      </c>
      <c r="F315" t="s">
        <v>13</v>
      </c>
      <c r="G315" t="s">
        <v>13</v>
      </c>
      <c r="H315" t="s">
        <v>13</v>
      </c>
      <c r="I315" t="s">
        <v>14</v>
      </c>
      <c r="J315" t="s">
        <v>27</v>
      </c>
      <c r="K315" t="s">
        <v>21</v>
      </c>
      <c r="L315" t="s">
        <v>17</v>
      </c>
    </row>
    <row r="316" spans="1:12" x14ac:dyDescent="0.25">
      <c r="A316" t="s">
        <v>653</v>
      </c>
      <c r="B316">
        <v>1</v>
      </c>
      <c r="C316" s="1">
        <v>44591</v>
      </c>
      <c r="D316" s="2">
        <v>0.20347222222222219</v>
      </c>
      <c r="E316" t="s">
        <v>654</v>
      </c>
      <c r="F316" t="s">
        <v>13</v>
      </c>
      <c r="G316" t="s">
        <v>13</v>
      </c>
      <c r="H316" t="s">
        <v>13</v>
      </c>
      <c r="I316" t="s">
        <v>14</v>
      </c>
      <c r="J316" t="s">
        <v>27</v>
      </c>
      <c r="K316" t="s">
        <v>21</v>
      </c>
      <c r="L316" t="s">
        <v>17</v>
      </c>
    </row>
    <row r="317" spans="1:12" x14ac:dyDescent="0.25">
      <c r="A317" t="s">
        <v>655</v>
      </c>
      <c r="B317">
        <v>2</v>
      </c>
      <c r="C317" s="1">
        <v>44591</v>
      </c>
      <c r="D317" s="2">
        <v>0.15347222222222223</v>
      </c>
      <c r="E317" t="s">
        <v>656</v>
      </c>
      <c r="F317" t="s">
        <v>13</v>
      </c>
      <c r="G317" t="s">
        <v>13</v>
      </c>
      <c r="H317" t="s">
        <v>13</v>
      </c>
      <c r="I317" t="s">
        <v>14</v>
      </c>
      <c r="J317" t="s">
        <v>27</v>
      </c>
      <c r="K317" t="s">
        <v>28</v>
      </c>
      <c r="L317" t="s">
        <v>17</v>
      </c>
    </row>
    <row r="318" spans="1:12" x14ac:dyDescent="0.25">
      <c r="A318" t="s">
        <v>657</v>
      </c>
      <c r="B318">
        <v>1</v>
      </c>
      <c r="C318" s="1">
        <v>44591</v>
      </c>
      <c r="D318" s="2">
        <v>0.13263888888888889</v>
      </c>
      <c r="E318" t="s">
        <v>658</v>
      </c>
      <c r="F318" t="s">
        <v>13</v>
      </c>
      <c r="G318" t="s">
        <v>13</v>
      </c>
      <c r="H318" t="s">
        <v>13</v>
      </c>
      <c r="I318" t="s">
        <v>14</v>
      </c>
      <c r="J318" t="s">
        <v>27</v>
      </c>
      <c r="K318" t="s">
        <v>21</v>
      </c>
      <c r="L318" t="s">
        <v>17</v>
      </c>
    </row>
    <row r="319" spans="1:12" x14ac:dyDescent="0.25">
      <c r="A319" t="s">
        <v>659</v>
      </c>
      <c r="B319">
        <v>1</v>
      </c>
      <c r="C319" s="1">
        <v>44591</v>
      </c>
      <c r="D319" s="2">
        <v>9.9999999999999992E-2</v>
      </c>
      <c r="E319" t="s">
        <v>660</v>
      </c>
      <c r="F319" t="s">
        <v>13</v>
      </c>
      <c r="G319" t="s">
        <v>13</v>
      </c>
      <c r="H319" t="s">
        <v>13</v>
      </c>
      <c r="I319" t="s">
        <v>14</v>
      </c>
      <c r="J319" t="s">
        <v>27</v>
      </c>
      <c r="K319" t="s">
        <v>21</v>
      </c>
      <c r="L319" t="s">
        <v>17</v>
      </c>
    </row>
    <row r="320" spans="1:12" x14ac:dyDescent="0.25">
      <c r="A320" t="s">
        <v>661</v>
      </c>
      <c r="B320">
        <v>2</v>
      </c>
      <c r="C320" s="1">
        <v>44591</v>
      </c>
      <c r="D320" s="2">
        <v>6.0416666666666667E-2</v>
      </c>
      <c r="E320" t="s">
        <v>662</v>
      </c>
      <c r="F320" t="s">
        <v>13</v>
      </c>
      <c r="G320" t="s">
        <v>13</v>
      </c>
      <c r="H320" t="s">
        <v>13</v>
      </c>
      <c r="I320" t="s">
        <v>14</v>
      </c>
      <c r="J320" t="s">
        <v>27</v>
      </c>
      <c r="K320" t="s">
        <v>21</v>
      </c>
      <c r="L320" t="s">
        <v>17</v>
      </c>
    </row>
    <row r="321" spans="1:12" x14ac:dyDescent="0.25">
      <c r="A321" t="s">
        <v>663</v>
      </c>
      <c r="B321">
        <v>1</v>
      </c>
      <c r="C321" s="1">
        <v>44591</v>
      </c>
      <c r="D321" s="2">
        <v>5.7638888888888885E-2</v>
      </c>
      <c r="E321" t="s">
        <v>664</v>
      </c>
      <c r="F321" t="s">
        <v>13</v>
      </c>
      <c r="G321" t="s">
        <v>13</v>
      </c>
      <c r="H321" t="s">
        <v>13</v>
      </c>
      <c r="I321" t="s">
        <v>14</v>
      </c>
      <c r="J321" t="s">
        <v>27</v>
      </c>
      <c r="K321" t="s">
        <v>21</v>
      </c>
      <c r="L321" t="s">
        <v>17</v>
      </c>
    </row>
    <row r="322" spans="1:12" x14ac:dyDescent="0.25">
      <c r="A322" t="s">
        <v>665</v>
      </c>
      <c r="B322">
        <v>1</v>
      </c>
      <c r="C322" s="1">
        <v>44591</v>
      </c>
      <c r="D322" s="2">
        <v>0.59652777777777777</v>
      </c>
      <c r="E322" t="s">
        <v>666</v>
      </c>
      <c r="F322" t="s">
        <v>13</v>
      </c>
      <c r="G322" t="s">
        <v>13</v>
      </c>
      <c r="H322" t="s">
        <v>13</v>
      </c>
      <c r="I322" t="s">
        <v>14</v>
      </c>
      <c r="J322" t="s">
        <v>27</v>
      </c>
      <c r="K322" t="s">
        <v>21</v>
      </c>
      <c r="L322" t="s">
        <v>17</v>
      </c>
    </row>
    <row r="323" spans="1:12" x14ac:dyDescent="0.25">
      <c r="A323" t="s">
        <v>667</v>
      </c>
      <c r="B323">
        <v>4</v>
      </c>
      <c r="C323" s="1">
        <v>44590</v>
      </c>
      <c r="D323" s="2">
        <v>0.26041666666666669</v>
      </c>
      <c r="E323" t="s">
        <v>668</v>
      </c>
      <c r="F323" t="s">
        <v>13</v>
      </c>
      <c r="G323" t="s">
        <v>13</v>
      </c>
      <c r="H323" t="s">
        <v>13</v>
      </c>
      <c r="I323" t="s">
        <v>14</v>
      </c>
      <c r="J323" t="s">
        <v>27</v>
      </c>
      <c r="K323" t="s">
        <v>28</v>
      </c>
      <c r="L323" t="s">
        <v>17</v>
      </c>
    </row>
    <row r="324" spans="1:12" x14ac:dyDescent="0.25">
      <c r="A324" t="s">
        <v>669</v>
      </c>
      <c r="B324">
        <v>4</v>
      </c>
      <c r="C324" s="1">
        <v>44590</v>
      </c>
      <c r="D324" s="2">
        <v>0.19027777777777777</v>
      </c>
      <c r="E324" t="s">
        <v>670</v>
      </c>
      <c r="F324" t="s">
        <v>36</v>
      </c>
      <c r="G324" t="s">
        <v>36</v>
      </c>
      <c r="H324" t="s">
        <v>36</v>
      </c>
      <c r="I324" t="s">
        <v>13</v>
      </c>
      <c r="J324" t="s">
        <v>27</v>
      </c>
      <c r="K324" t="s">
        <v>21</v>
      </c>
      <c r="L324" t="s">
        <v>17</v>
      </c>
    </row>
    <row r="325" spans="1:12" x14ac:dyDescent="0.25">
      <c r="A325" t="s">
        <v>671</v>
      </c>
      <c r="B325">
        <v>2</v>
      </c>
      <c r="C325" s="1">
        <v>44590</v>
      </c>
      <c r="D325" s="2">
        <v>0.12916666666666668</v>
      </c>
      <c r="E325" t="s">
        <v>672</v>
      </c>
      <c r="F325" t="s">
        <v>13</v>
      </c>
      <c r="G325" t="s">
        <v>13</v>
      </c>
      <c r="H325" t="s">
        <v>13</v>
      </c>
      <c r="I325" t="s">
        <v>14</v>
      </c>
      <c r="J325" t="s">
        <v>27</v>
      </c>
      <c r="K325" t="s">
        <v>21</v>
      </c>
      <c r="L325" t="s">
        <v>17</v>
      </c>
    </row>
    <row r="326" spans="1:12" x14ac:dyDescent="0.25">
      <c r="A326" t="s">
        <v>673</v>
      </c>
      <c r="B326">
        <v>1</v>
      </c>
      <c r="C326" s="1">
        <v>44590</v>
      </c>
      <c r="D326" s="2">
        <v>0.97777777777777775</v>
      </c>
      <c r="E326" t="s">
        <v>674</v>
      </c>
      <c r="F326" t="s">
        <v>13</v>
      </c>
      <c r="G326" t="s">
        <v>13</v>
      </c>
      <c r="H326" t="s">
        <v>13</v>
      </c>
      <c r="I326" t="s">
        <v>14</v>
      </c>
      <c r="J326" t="s">
        <v>27</v>
      </c>
      <c r="K326" t="s">
        <v>28</v>
      </c>
      <c r="L326" t="s">
        <v>17</v>
      </c>
    </row>
    <row r="327" spans="1:12" x14ac:dyDescent="0.25">
      <c r="A327" t="s">
        <v>675</v>
      </c>
      <c r="B327">
        <v>1</v>
      </c>
      <c r="C327" s="1">
        <v>44590</v>
      </c>
      <c r="D327" s="2">
        <v>0.59513888888888888</v>
      </c>
      <c r="E327" t="s">
        <v>676</v>
      </c>
      <c r="F327" t="s">
        <v>13</v>
      </c>
      <c r="G327" t="s">
        <v>13</v>
      </c>
      <c r="H327" t="s">
        <v>13</v>
      </c>
      <c r="I327" t="s">
        <v>14</v>
      </c>
      <c r="J327" t="s">
        <v>27</v>
      </c>
      <c r="K327" t="s">
        <v>16</v>
      </c>
      <c r="L327" t="s">
        <v>17</v>
      </c>
    </row>
    <row r="328" spans="1:12" x14ac:dyDescent="0.25">
      <c r="A328" t="s">
        <v>677</v>
      </c>
      <c r="B328">
        <v>4</v>
      </c>
      <c r="C328" s="1">
        <v>44590</v>
      </c>
      <c r="D328" s="2">
        <v>2.0833333333333332E-2</v>
      </c>
      <c r="E328" t="s">
        <v>678</v>
      </c>
      <c r="F328" t="s">
        <v>36</v>
      </c>
      <c r="G328" t="s">
        <v>36</v>
      </c>
      <c r="H328" t="s">
        <v>36</v>
      </c>
      <c r="I328" t="s">
        <v>13</v>
      </c>
      <c r="J328" t="s">
        <v>27</v>
      </c>
      <c r="K328" t="s">
        <v>21</v>
      </c>
      <c r="L328" t="s">
        <v>17</v>
      </c>
    </row>
    <row r="329" spans="1:12" x14ac:dyDescent="0.25">
      <c r="A329" t="s">
        <v>679</v>
      </c>
      <c r="B329">
        <v>1</v>
      </c>
      <c r="C329" s="1">
        <v>44589</v>
      </c>
      <c r="D329" s="2">
        <v>0.18194444444444444</v>
      </c>
      <c r="E329" t="s">
        <v>680</v>
      </c>
      <c r="F329" t="s">
        <v>13</v>
      </c>
      <c r="G329" t="s">
        <v>13</v>
      </c>
      <c r="H329" t="s">
        <v>13</v>
      </c>
      <c r="I329" t="s">
        <v>14</v>
      </c>
      <c r="J329" t="s">
        <v>27</v>
      </c>
      <c r="K329" t="s">
        <v>21</v>
      </c>
      <c r="L329" t="s">
        <v>17</v>
      </c>
    </row>
    <row r="330" spans="1:12" x14ac:dyDescent="0.25">
      <c r="A330" t="s">
        <v>681</v>
      </c>
      <c r="B330">
        <v>1</v>
      </c>
      <c r="C330" s="1">
        <v>44589</v>
      </c>
      <c r="D330" s="2">
        <v>0.11458333333333333</v>
      </c>
      <c r="E330" t="s">
        <v>682</v>
      </c>
      <c r="F330" t="s">
        <v>13</v>
      </c>
      <c r="G330" t="s">
        <v>13</v>
      </c>
      <c r="H330" t="s">
        <v>13</v>
      </c>
      <c r="I330" t="s">
        <v>14</v>
      </c>
      <c r="J330" t="s">
        <v>27</v>
      </c>
      <c r="K330" t="s">
        <v>21</v>
      </c>
      <c r="L330" t="s">
        <v>17</v>
      </c>
    </row>
    <row r="331" spans="1:12" x14ac:dyDescent="0.25">
      <c r="A331" t="s">
        <v>683</v>
      </c>
      <c r="B331">
        <v>3</v>
      </c>
      <c r="C331" s="1">
        <v>44589</v>
      </c>
      <c r="D331" s="2">
        <v>0.99722222222222223</v>
      </c>
      <c r="E331" t="s">
        <v>684</v>
      </c>
      <c r="F331" t="s">
        <v>31</v>
      </c>
      <c r="G331" t="s">
        <v>31</v>
      </c>
      <c r="H331" t="s">
        <v>31</v>
      </c>
      <c r="I331" t="s">
        <v>32</v>
      </c>
      <c r="J331" t="s">
        <v>27</v>
      </c>
      <c r="K331" t="s">
        <v>21</v>
      </c>
      <c r="L331" t="s">
        <v>33</v>
      </c>
    </row>
    <row r="332" spans="1:12" x14ac:dyDescent="0.25">
      <c r="A332" t="s">
        <v>685</v>
      </c>
      <c r="B332">
        <v>1</v>
      </c>
      <c r="C332" s="1">
        <v>44589</v>
      </c>
      <c r="D332" s="2">
        <v>0.63124999999999998</v>
      </c>
      <c r="E332" t="s">
        <v>686</v>
      </c>
      <c r="F332" t="s">
        <v>13</v>
      </c>
      <c r="G332" t="s">
        <v>13</v>
      </c>
      <c r="H332" t="s">
        <v>13</v>
      </c>
      <c r="I332" t="s">
        <v>14</v>
      </c>
      <c r="J332" t="s">
        <v>27</v>
      </c>
      <c r="K332" t="s">
        <v>28</v>
      </c>
      <c r="L332" t="s">
        <v>17</v>
      </c>
    </row>
    <row r="333" spans="1:12" x14ac:dyDescent="0.25">
      <c r="A333" t="s">
        <v>687</v>
      </c>
      <c r="B333">
        <v>3</v>
      </c>
      <c r="C333" s="1">
        <v>44589</v>
      </c>
      <c r="D333" s="2">
        <v>0.43888888888888888</v>
      </c>
      <c r="E333" t="s">
        <v>688</v>
      </c>
      <c r="F333" t="s">
        <v>31</v>
      </c>
      <c r="G333" t="s">
        <v>31</v>
      </c>
      <c r="H333" t="s">
        <v>31</v>
      </c>
      <c r="I333" t="s">
        <v>32</v>
      </c>
      <c r="J333" t="s">
        <v>27</v>
      </c>
      <c r="K333" t="s">
        <v>21</v>
      </c>
      <c r="L333" t="s">
        <v>33</v>
      </c>
    </row>
    <row r="334" spans="1:12" x14ac:dyDescent="0.25">
      <c r="A334" t="s">
        <v>689</v>
      </c>
      <c r="B334">
        <v>5</v>
      </c>
      <c r="C334" s="1">
        <v>44589</v>
      </c>
      <c r="D334" s="2">
        <v>0.43263888888888885</v>
      </c>
      <c r="E334" t="s">
        <v>690</v>
      </c>
      <c r="F334" t="s">
        <v>36</v>
      </c>
      <c r="G334" t="s">
        <v>36</v>
      </c>
      <c r="H334" t="s">
        <v>36</v>
      </c>
      <c r="I334" t="s">
        <v>13</v>
      </c>
      <c r="J334" t="s">
        <v>27</v>
      </c>
      <c r="K334" t="s">
        <v>21</v>
      </c>
      <c r="L334" t="s">
        <v>17</v>
      </c>
    </row>
    <row r="335" spans="1:12" x14ac:dyDescent="0.25">
      <c r="A335" t="s">
        <v>691</v>
      </c>
      <c r="B335">
        <v>1</v>
      </c>
      <c r="C335" s="1">
        <v>44589</v>
      </c>
      <c r="D335" s="2">
        <v>0.42083333333333334</v>
      </c>
      <c r="E335" t="s">
        <v>692</v>
      </c>
      <c r="F335" t="s">
        <v>13</v>
      </c>
      <c r="G335" t="s">
        <v>13</v>
      </c>
      <c r="H335" t="s">
        <v>13</v>
      </c>
      <c r="I335" t="s">
        <v>14</v>
      </c>
      <c r="J335" t="s">
        <v>27</v>
      </c>
      <c r="K335" t="s">
        <v>21</v>
      </c>
      <c r="L335" t="s">
        <v>17</v>
      </c>
    </row>
    <row r="336" spans="1:12" x14ac:dyDescent="0.25">
      <c r="A336" t="s">
        <v>693</v>
      </c>
      <c r="B336">
        <v>3</v>
      </c>
      <c r="C336" s="1">
        <v>44589</v>
      </c>
      <c r="D336" s="2">
        <v>3.5416666666666666E-2</v>
      </c>
      <c r="E336" t="s">
        <v>694</v>
      </c>
      <c r="F336" t="s">
        <v>31</v>
      </c>
      <c r="G336" t="s">
        <v>31</v>
      </c>
      <c r="H336" t="s">
        <v>31</v>
      </c>
      <c r="I336" t="s">
        <v>32</v>
      </c>
      <c r="J336" t="s">
        <v>27</v>
      </c>
      <c r="K336" t="s">
        <v>21</v>
      </c>
      <c r="L336" t="s">
        <v>33</v>
      </c>
    </row>
    <row r="337" spans="1:12" x14ac:dyDescent="0.25">
      <c r="A337" t="s">
        <v>695</v>
      </c>
      <c r="B337">
        <v>3</v>
      </c>
      <c r="C337" s="1">
        <v>44588</v>
      </c>
      <c r="D337" s="2">
        <v>0.30833333333333335</v>
      </c>
      <c r="E337" t="s">
        <v>696</v>
      </c>
      <c r="F337" t="s">
        <v>13</v>
      </c>
      <c r="G337" t="s">
        <v>13</v>
      </c>
      <c r="H337" t="s">
        <v>13</v>
      </c>
      <c r="I337" t="s">
        <v>14</v>
      </c>
      <c r="J337" t="s">
        <v>27</v>
      </c>
      <c r="K337" t="s">
        <v>21</v>
      </c>
      <c r="L337" t="s">
        <v>17</v>
      </c>
    </row>
    <row r="338" spans="1:12" x14ac:dyDescent="0.25">
      <c r="A338" t="s">
        <v>697</v>
      </c>
      <c r="B338">
        <v>5</v>
      </c>
      <c r="C338" s="1">
        <v>44588</v>
      </c>
      <c r="D338" s="2">
        <v>0.28402777777777777</v>
      </c>
      <c r="E338" t="s">
        <v>698</v>
      </c>
      <c r="F338" t="s">
        <v>31</v>
      </c>
      <c r="G338" t="s">
        <v>31</v>
      </c>
      <c r="H338" t="s">
        <v>31</v>
      </c>
      <c r="I338" t="s">
        <v>32</v>
      </c>
      <c r="J338" t="s">
        <v>27</v>
      </c>
      <c r="K338" t="s">
        <v>21</v>
      </c>
      <c r="L338" t="s">
        <v>33</v>
      </c>
    </row>
    <row r="339" spans="1:12" x14ac:dyDescent="0.25">
      <c r="A339" t="s">
        <v>699</v>
      </c>
      <c r="B339">
        <v>1</v>
      </c>
      <c r="C339" s="1">
        <v>44588</v>
      </c>
      <c r="D339" s="2">
        <v>0.26805555555555555</v>
      </c>
      <c r="E339" t="s">
        <v>700</v>
      </c>
      <c r="F339" t="s">
        <v>13</v>
      </c>
      <c r="G339" t="s">
        <v>13</v>
      </c>
      <c r="H339" t="s">
        <v>13</v>
      </c>
      <c r="I339" t="s">
        <v>14</v>
      </c>
      <c r="J339" t="s">
        <v>27</v>
      </c>
      <c r="K339" t="s">
        <v>21</v>
      </c>
      <c r="L339" t="s">
        <v>17</v>
      </c>
    </row>
    <row r="340" spans="1:12" x14ac:dyDescent="0.25">
      <c r="A340" t="s">
        <v>701</v>
      </c>
      <c r="B340">
        <v>5</v>
      </c>
      <c r="C340" s="1">
        <v>44588</v>
      </c>
      <c r="D340" s="2">
        <v>0.93958333333333333</v>
      </c>
      <c r="E340" t="s">
        <v>702</v>
      </c>
      <c r="F340" t="s">
        <v>31</v>
      </c>
      <c r="G340" t="s">
        <v>31</v>
      </c>
      <c r="H340" t="s">
        <v>31</v>
      </c>
      <c r="I340" t="s">
        <v>32</v>
      </c>
      <c r="J340" t="s">
        <v>27</v>
      </c>
      <c r="K340" t="s">
        <v>21</v>
      </c>
      <c r="L340" t="s">
        <v>33</v>
      </c>
    </row>
    <row r="341" spans="1:12" x14ac:dyDescent="0.25">
      <c r="A341" t="s">
        <v>703</v>
      </c>
      <c r="B341">
        <v>2</v>
      </c>
      <c r="C341" s="1">
        <v>44588</v>
      </c>
      <c r="D341" s="2">
        <v>0.73333333333333339</v>
      </c>
      <c r="E341" t="s">
        <v>704</v>
      </c>
      <c r="F341" t="s">
        <v>13</v>
      </c>
      <c r="G341" t="s">
        <v>13</v>
      </c>
      <c r="H341" t="s">
        <v>13</v>
      </c>
      <c r="I341" t="s">
        <v>14</v>
      </c>
      <c r="J341" t="s">
        <v>27</v>
      </c>
      <c r="K341" t="s">
        <v>28</v>
      </c>
      <c r="L341" t="s">
        <v>17</v>
      </c>
    </row>
    <row r="342" spans="1:12" x14ac:dyDescent="0.25">
      <c r="A342" t="s">
        <v>705</v>
      </c>
      <c r="B342">
        <v>1</v>
      </c>
      <c r="C342" s="1">
        <v>44588</v>
      </c>
      <c r="D342" s="2">
        <v>0.69305555555555554</v>
      </c>
      <c r="E342" t="s">
        <v>706</v>
      </c>
      <c r="F342" t="s">
        <v>13</v>
      </c>
      <c r="G342" t="s">
        <v>13</v>
      </c>
      <c r="H342" t="s">
        <v>13</v>
      </c>
      <c r="I342" t="s">
        <v>14</v>
      </c>
      <c r="J342" t="s">
        <v>27</v>
      </c>
      <c r="K342" t="s">
        <v>21</v>
      </c>
      <c r="L342" t="s">
        <v>17</v>
      </c>
    </row>
    <row r="343" spans="1:12" x14ac:dyDescent="0.25">
      <c r="A343" t="s">
        <v>707</v>
      </c>
      <c r="B343">
        <v>4</v>
      </c>
      <c r="C343" s="1">
        <v>44588</v>
      </c>
      <c r="D343" s="2">
        <v>0.56388888888888888</v>
      </c>
      <c r="E343" t="s">
        <v>708</v>
      </c>
      <c r="F343" t="s">
        <v>36</v>
      </c>
      <c r="G343" t="s">
        <v>36</v>
      </c>
      <c r="H343" t="s">
        <v>36</v>
      </c>
      <c r="I343" t="s">
        <v>13</v>
      </c>
      <c r="J343" t="s">
        <v>27</v>
      </c>
      <c r="K343" t="s">
        <v>28</v>
      </c>
      <c r="L343" t="s">
        <v>17</v>
      </c>
    </row>
    <row r="344" spans="1:12" x14ac:dyDescent="0.25">
      <c r="A344" t="s">
        <v>709</v>
      </c>
      <c r="B344">
        <v>1</v>
      </c>
      <c r="C344" s="1">
        <v>44588</v>
      </c>
      <c r="D344" s="2">
        <v>0.56180555555555556</v>
      </c>
      <c r="E344" t="s">
        <v>710</v>
      </c>
      <c r="F344" t="s">
        <v>13</v>
      </c>
      <c r="G344" t="s">
        <v>13</v>
      </c>
      <c r="H344" t="s">
        <v>13</v>
      </c>
      <c r="I344" t="s">
        <v>14</v>
      </c>
      <c r="J344" t="s">
        <v>27</v>
      </c>
      <c r="K344" t="s">
        <v>28</v>
      </c>
      <c r="L344" t="s">
        <v>17</v>
      </c>
    </row>
    <row r="345" spans="1:12" x14ac:dyDescent="0.25">
      <c r="A345" t="s">
        <v>711</v>
      </c>
      <c r="B345">
        <v>3</v>
      </c>
      <c r="C345" s="1">
        <v>44588</v>
      </c>
      <c r="D345" s="2">
        <v>0.52916666666666667</v>
      </c>
      <c r="E345" t="s">
        <v>712</v>
      </c>
      <c r="F345" t="s">
        <v>13</v>
      </c>
      <c r="G345" t="s">
        <v>13</v>
      </c>
      <c r="H345" t="s">
        <v>13</v>
      </c>
      <c r="I345" t="s">
        <v>14</v>
      </c>
      <c r="J345" t="s">
        <v>27</v>
      </c>
      <c r="K345" t="s">
        <v>28</v>
      </c>
      <c r="L345" t="s">
        <v>17</v>
      </c>
    </row>
    <row r="346" spans="1:12" x14ac:dyDescent="0.25">
      <c r="A346" t="s">
        <v>713</v>
      </c>
      <c r="B346">
        <v>1</v>
      </c>
      <c r="C346" s="1">
        <v>44588</v>
      </c>
      <c r="D346" s="2">
        <v>0.48333333333333334</v>
      </c>
      <c r="E346" t="s">
        <v>714</v>
      </c>
      <c r="F346" t="s">
        <v>13</v>
      </c>
      <c r="G346" t="s">
        <v>13</v>
      </c>
      <c r="H346" t="s">
        <v>13</v>
      </c>
      <c r="I346" t="s">
        <v>14</v>
      </c>
      <c r="J346" t="s">
        <v>27</v>
      </c>
      <c r="K346" t="s">
        <v>21</v>
      </c>
      <c r="L346" t="s">
        <v>17</v>
      </c>
    </row>
    <row r="347" spans="1:12" x14ac:dyDescent="0.25">
      <c r="A347" t="s">
        <v>715</v>
      </c>
      <c r="B347">
        <v>1</v>
      </c>
      <c r="C347" s="1">
        <v>44588</v>
      </c>
      <c r="D347" s="2">
        <v>0.47222222222222227</v>
      </c>
      <c r="E347" t="s">
        <v>716</v>
      </c>
      <c r="F347" t="s">
        <v>13</v>
      </c>
      <c r="G347" t="s">
        <v>13</v>
      </c>
      <c r="H347" t="s">
        <v>13</v>
      </c>
      <c r="I347" t="s">
        <v>14</v>
      </c>
      <c r="J347" t="s">
        <v>27</v>
      </c>
      <c r="K347" t="s">
        <v>21</v>
      </c>
      <c r="L347" t="s">
        <v>17</v>
      </c>
    </row>
    <row r="348" spans="1:12" x14ac:dyDescent="0.25">
      <c r="A348" t="s">
        <v>717</v>
      </c>
      <c r="B348">
        <v>5</v>
      </c>
      <c r="C348" s="1">
        <v>44588</v>
      </c>
      <c r="D348" s="2">
        <v>4.0972222222222222E-2</v>
      </c>
      <c r="E348" t="s">
        <v>718</v>
      </c>
      <c r="F348" t="s">
        <v>36</v>
      </c>
      <c r="G348" t="s">
        <v>36</v>
      </c>
      <c r="H348" t="s">
        <v>36</v>
      </c>
      <c r="I348" t="s">
        <v>13</v>
      </c>
      <c r="J348" t="s">
        <v>27</v>
      </c>
      <c r="K348" t="s">
        <v>21</v>
      </c>
      <c r="L348" t="s">
        <v>17</v>
      </c>
    </row>
    <row r="349" spans="1:12" x14ac:dyDescent="0.25">
      <c r="A349" t="s">
        <v>719</v>
      </c>
      <c r="B349">
        <v>4</v>
      </c>
      <c r="C349" s="1">
        <v>44588</v>
      </c>
      <c r="D349" s="2">
        <v>1.4583333333333332E-2</v>
      </c>
      <c r="E349" t="s">
        <v>720</v>
      </c>
      <c r="F349" t="s">
        <v>36</v>
      </c>
      <c r="G349" t="s">
        <v>36</v>
      </c>
      <c r="H349" t="s">
        <v>36</v>
      </c>
      <c r="I349" t="s">
        <v>13</v>
      </c>
      <c r="J349" t="s">
        <v>27</v>
      </c>
      <c r="K349" t="s">
        <v>21</v>
      </c>
      <c r="L349" t="s">
        <v>17</v>
      </c>
    </row>
    <row r="350" spans="1:12" x14ac:dyDescent="0.25">
      <c r="A350" t="s">
        <v>721</v>
      </c>
      <c r="B350">
        <v>1</v>
      </c>
      <c r="C350" s="1">
        <v>44587</v>
      </c>
      <c r="D350" s="2">
        <v>0.28402777777777777</v>
      </c>
      <c r="E350" t="s">
        <v>722</v>
      </c>
      <c r="F350" t="s">
        <v>13</v>
      </c>
      <c r="G350" t="s">
        <v>13</v>
      </c>
      <c r="H350" t="s">
        <v>13</v>
      </c>
      <c r="I350" t="s">
        <v>14</v>
      </c>
      <c r="J350" t="s">
        <v>27</v>
      </c>
      <c r="K350" t="s">
        <v>21</v>
      </c>
      <c r="L350" t="s">
        <v>17</v>
      </c>
    </row>
    <row r="351" spans="1:12" x14ac:dyDescent="0.25">
      <c r="A351" t="s">
        <v>723</v>
      </c>
      <c r="B351">
        <v>5</v>
      </c>
      <c r="C351" s="1">
        <v>44587</v>
      </c>
      <c r="D351" s="2">
        <v>0.21249999999999999</v>
      </c>
      <c r="E351" t="s">
        <v>724</v>
      </c>
      <c r="F351" t="s">
        <v>13</v>
      </c>
      <c r="G351" t="s">
        <v>13</v>
      </c>
      <c r="H351" t="s">
        <v>13</v>
      </c>
      <c r="I351" t="s">
        <v>14</v>
      </c>
      <c r="J351" t="s">
        <v>27</v>
      </c>
      <c r="K351" t="s">
        <v>21</v>
      </c>
      <c r="L351" t="s">
        <v>17</v>
      </c>
    </row>
    <row r="352" spans="1:12" x14ac:dyDescent="0.25">
      <c r="A352" t="s">
        <v>725</v>
      </c>
      <c r="B352">
        <v>1</v>
      </c>
      <c r="C352" s="1">
        <v>44587</v>
      </c>
      <c r="D352" s="2">
        <v>0.20486111111111113</v>
      </c>
      <c r="E352" t="s">
        <v>726</v>
      </c>
      <c r="F352" t="s">
        <v>13</v>
      </c>
      <c r="G352" t="s">
        <v>13</v>
      </c>
      <c r="H352" t="s">
        <v>13</v>
      </c>
      <c r="I352" t="s">
        <v>14</v>
      </c>
      <c r="J352" t="s">
        <v>27</v>
      </c>
      <c r="K352" t="s">
        <v>21</v>
      </c>
      <c r="L352" t="s">
        <v>17</v>
      </c>
    </row>
    <row r="353" spans="1:12" x14ac:dyDescent="0.25">
      <c r="A353" t="s">
        <v>727</v>
      </c>
      <c r="B353">
        <v>1</v>
      </c>
      <c r="C353" s="1">
        <v>44587</v>
      </c>
      <c r="D353" s="2">
        <v>0.16597222222222222</v>
      </c>
      <c r="E353" t="s">
        <v>728</v>
      </c>
      <c r="F353" t="s">
        <v>13</v>
      </c>
      <c r="G353" t="s">
        <v>13</v>
      </c>
      <c r="H353" t="s">
        <v>13</v>
      </c>
      <c r="I353" t="s">
        <v>14</v>
      </c>
      <c r="J353" t="s">
        <v>27</v>
      </c>
      <c r="K353" t="s">
        <v>21</v>
      </c>
      <c r="L353" t="s">
        <v>17</v>
      </c>
    </row>
    <row r="354" spans="1:12" x14ac:dyDescent="0.25">
      <c r="A354" t="s">
        <v>729</v>
      </c>
      <c r="B354">
        <v>4</v>
      </c>
      <c r="C354" s="1">
        <v>44587</v>
      </c>
      <c r="D354" s="2">
        <v>0.96388888888888891</v>
      </c>
      <c r="E354" t="s">
        <v>730</v>
      </c>
      <c r="F354" t="s">
        <v>36</v>
      </c>
      <c r="G354" t="s">
        <v>36</v>
      </c>
      <c r="H354" t="s">
        <v>36</v>
      </c>
      <c r="I354" t="s">
        <v>13</v>
      </c>
      <c r="J354" t="s">
        <v>27</v>
      </c>
      <c r="K354" t="s">
        <v>21</v>
      </c>
      <c r="L354" t="s">
        <v>17</v>
      </c>
    </row>
    <row r="355" spans="1:12" x14ac:dyDescent="0.25">
      <c r="A355" t="s">
        <v>731</v>
      </c>
      <c r="B355">
        <v>4</v>
      </c>
      <c r="C355" s="1">
        <v>44587</v>
      </c>
      <c r="D355" s="2">
        <v>0.90902777777777777</v>
      </c>
      <c r="E355" t="s">
        <v>732</v>
      </c>
      <c r="F355" t="s">
        <v>36</v>
      </c>
      <c r="G355" t="s">
        <v>36</v>
      </c>
      <c r="H355" t="s">
        <v>36</v>
      </c>
      <c r="I355" t="s">
        <v>13</v>
      </c>
      <c r="J355" t="s">
        <v>27</v>
      </c>
      <c r="K355" t="s">
        <v>21</v>
      </c>
      <c r="L355" t="s">
        <v>17</v>
      </c>
    </row>
    <row r="356" spans="1:12" x14ac:dyDescent="0.25">
      <c r="A356" t="s">
        <v>733</v>
      </c>
      <c r="B356">
        <v>2</v>
      </c>
      <c r="C356" s="1">
        <v>44587</v>
      </c>
      <c r="D356" s="2">
        <v>4.3055555555555562E-2</v>
      </c>
      <c r="E356" t="s">
        <v>734</v>
      </c>
      <c r="F356" t="s">
        <v>13</v>
      </c>
      <c r="G356" t="s">
        <v>13</v>
      </c>
      <c r="H356" t="s">
        <v>13</v>
      </c>
      <c r="I356" t="s">
        <v>14</v>
      </c>
      <c r="J356" t="s">
        <v>27</v>
      </c>
      <c r="K356" t="s">
        <v>21</v>
      </c>
      <c r="L356" t="s">
        <v>17</v>
      </c>
    </row>
    <row r="357" spans="1:12" x14ac:dyDescent="0.25">
      <c r="A357" t="s">
        <v>735</v>
      </c>
      <c r="B357">
        <v>5</v>
      </c>
      <c r="C357" s="1">
        <v>44587</v>
      </c>
      <c r="D357" s="2">
        <v>0.73819444444444438</v>
      </c>
      <c r="E357" t="s">
        <v>736</v>
      </c>
      <c r="F357" t="s">
        <v>36</v>
      </c>
      <c r="G357" t="s">
        <v>36</v>
      </c>
      <c r="H357" t="s">
        <v>36</v>
      </c>
      <c r="I357" t="s">
        <v>13</v>
      </c>
      <c r="J357" t="s">
        <v>27</v>
      </c>
      <c r="K357" t="s">
        <v>21</v>
      </c>
      <c r="L357" t="s">
        <v>17</v>
      </c>
    </row>
    <row r="358" spans="1:12" x14ac:dyDescent="0.25">
      <c r="A358" t="s">
        <v>737</v>
      </c>
      <c r="B358">
        <v>2</v>
      </c>
      <c r="C358" s="1">
        <v>44587</v>
      </c>
      <c r="D358" s="2">
        <v>0.62638888888888888</v>
      </c>
      <c r="E358" t="s">
        <v>738</v>
      </c>
      <c r="F358" t="s">
        <v>13</v>
      </c>
      <c r="G358" t="s">
        <v>13</v>
      </c>
      <c r="H358" t="s">
        <v>13</v>
      </c>
      <c r="I358" t="s">
        <v>14</v>
      </c>
      <c r="J358" t="s">
        <v>27</v>
      </c>
      <c r="K358" t="s">
        <v>21</v>
      </c>
      <c r="L358" t="s">
        <v>17</v>
      </c>
    </row>
    <row r="359" spans="1:12" x14ac:dyDescent="0.25">
      <c r="A359" t="s">
        <v>739</v>
      </c>
      <c r="B359">
        <v>1</v>
      </c>
      <c r="C359" s="1">
        <v>44587</v>
      </c>
      <c r="D359" s="2">
        <v>0.6069444444444444</v>
      </c>
      <c r="E359" t="s">
        <v>740</v>
      </c>
      <c r="F359" t="s">
        <v>13</v>
      </c>
      <c r="G359" t="s">
        <v>13</v>
      </c>
      <c r="H359" t="s">
        <v>13</v>
      </c>
      <c r="I359" t="s">
        <v>14</v>
      </c>
      <c r="J359" t="s">
        <v>27</v>
      </c>
      <c r="K359" t="s">
        <v>21</v>
      </c>
      <c r="L359" t="s">
        <v>17</v>
      </c>
    </row>
    <row r="360" spans="1:12" x14ac:dyDescent="0.25">
      <c r="A360" t="s">
        <v>741</v>
      </c>
      <c r="B360">
        <v>5</v>
      </c>
      <c r="C360" s="1">
        <v>44587</v>
      </c>
      <c r="D360" s="2">
        <v>0.46527777777777773</v>
      </c>
      <c r="E360" t="s">
        <v>742</v>
      </c>
      <c r="F360" t="s">
        <v>36</v>
      </c>
      <c r="G360" t="s">
        <v>36</v>
      </c>
      <c r="H360" t="s">
        <v>36</v>
      </c>
      <c r="I360" t="s">
        <v>13</v>
      </c>
      <c r="J360" t="s">
        <v>27</v>
      </c>
      <c r="K360" t="s">
        <v>21</v>
      </c>
      <c r="L360" t="s">
        <v>17</v>
      </c>
    </row>
    <row r="361" spans="1:12" x14ac:dyDescent="0.25">
      <c r="A361" t="s">
        <v>743</v>
      </c>
      <c r="B361">
        <v>1</v>
      </c>
      <c r="C361" s="1">
        <v>44587</v>
      </c>
      <c r="D361" s="2">
        <v>0.44166666666666665</v>
      </c>
      <c r="E361" t="s">
        <v>744</v>
      </c>
      <c r="F361" t="s">
        <v>13</v>
      </c>
      <c r="G361" t="s">
        <v>13</v>
      </c>
      <c r="H361" t="s">
        <v>13</v>
      </c>
      <c r="I361" t="s">
        <v>14</v>
      </c>
      <c r="J361" t="s">
        <v>27</v>
      </c>
      <c r="K361" t="s">
        <v>21</v>
      </c>
      <c r="L361" t="s">
        <v>17</v>
      </c>
    </row>
    <row r="362" spans="1:12" x14ac:dyDescent="0.25">
      <c r="A362" t="s">
        <v>745</v>
      </c>
      <c r="B362">
        <v>1</v>
      </c>
      <c r="C362" s="1">
        <v>44586</v>
      </c>
      <c r="D362" s="2">
        <v>0.39861111111111108</v>
      </c>
      <c r="E362" t="s">
        <v>746</v>
      </c>
      <c r="F362" t="s">
        <v>13</v>
      </c>
      <c r="G362" t="s">
        <v>13</v>
      </c>
      <c r="H362" t="s">
        <v>13</v>
      </c>
      <c r="I362" t="s">
        <v>14</v>
      </c>
      <c r="J362" t="s">
        <v>27</v>
      </c>
      <c r="K362" t="s">
        <v>21</v>
      </c>
      <c r="L362" t="s">
        <v>17</v>
      </c>
    </row>
    <row r="363" spans="1:12" x14ac:dyDescent="0.25">
      <c r="A363" t="s">
        <v>747</v>
      </c>
      <c r="B363">
        <v>1</v>
      </c>
      <c r="C363" s="1">
        <v>44586</v>
      </c>
      <c r="D363" s="2">
        <v>0.34722222222222227</v>
      </c>
      <c r="E363" t="s">
        <v>748</v>
      </c>
      <c r="F363" t="s">
        <v>13</v>
      </c>
      <c r="G363" t="s">
        <v>13</v>
      </c>
      <c r="H363" t="s">
        <v>13</v>
      </c>
      <c r="I363" t="s">
        <v>14</v>
      </c>
      <c r="J363" t="s">
        <v>27</v>
      </c>
      <c r="K363" t="s">
        <v>21</v>
      </c>
      <c r="L363" t="s">
        <v>17</v>
      </c>
    </row>
    <row r="364" spans="1:12" x14ac:dyDescent="0.25">
      <c r="A364" t="s">
        <v>749</v>
      </c>
      <c r="B364">
        <v>1</v>
      </c>
      <c r="C364" s="1">
        <v>44586</v>
      </c>
      <c r="D364" s="2">
        <v>0.31458333333333333</v>
      </c>
      <c r="E364" t="s">
        <v>750</v>
      </c>
      <c r="F364" t="s">
        <v>13</v>
      </c>
      <c r="G364" t="s">
        <v>13</v>
      </c>
      <c r="H364" t="s">
        <v>13</v>
      </c>
      <c r="I364" t="s">
        <v>14</v>
      </c>
      <c r="J364" t="s">
        <v>27</v>
      </c>
      <c r="K364" t="s">
        <v>21</v>
      </c>
      <c r="L364" t="s">
        <v>17</v>
      </c>
    </row>
    <row r="365" spans="1:12" x14ac:dyDescent="0.25">
      <c r="A365" t="s">
        <v>751</v>
      </c>
      <c r="B365">
        <v>1</v>
      </c>
      <c r="C365" s="1">
        <v>44586</v>
      </c>
      <c r="D365" s="2">
        <v>0.30833333333333335</v>
      </c>
      <c r="E365" t="s">
        <v>752</v>
      </c>
      <c r="F365" t="s">
        <v>13</v>
      </c>
      <c r="G365" t="s">
        <v>13</v>
      </c>
      <c r="H365" t="s">
        <v>13</v>
      </c>
      <c r="I365" t="s">
        <v>14</v>
      </c>
      <c r="J365" t="s">
        <v>27</v>
      </c>
      <c r="K365" t="s">
        <v>21</v>
      </c>
      <c r="L365" t="s">
        <v>17</v>
      </c>
    </row>
    <row r="366" spans="1:12" x14ac:dyDescent="0.25">
      <c r="A366" t="s">
        <v>753</v>
      </c>
      <c r="B366">
        <v>5</v>
      </c>
      <c r="C366" s="1">
        <v>44586</v>
      </c>
      <c r="D366" s="2">
        <v>0.30555555555555552</v>
      </c>
      <c r="E366" t="s">
        <v>754</v>
      </c>
      <c r="F366" t="s">
        <v>13</v>
      </c>
      <c r="G366" t="s">
        <v>13</v>
      </c>
      <c r="H366" t="s">
        <v>13</v>
      </c>
      <c r="I366" t="s">
        <v>14</v>
      </c>
      <c r="J366" t="s">
        <v>27</v>
      </c>
      <c r="K366" t="s">
        <v>21</v>
      </c>
      <c r="L366" t="s">
        <v>17</v>
      </c>
    </row>
    <row r="367" spans="1:12" x14ac:dyDescent="0.25">
      <c r="A367" t="s">
        <v>755</v>
      </c>
      <c r="B367">
        <v>1</v>
      </c>
      <c r="C367" s="1">
        <v>44586</v>
      </c>
      <c r="D367" s="2">
        <v>0.30277777777777776</v>
      </c>
      <c r="E367" t="s">
        <v>756</v>
      </c>
      <c r="F367" t="s">
        <v>13</v>
      </c>
      <c r="G367" t="s">
        <v>13</v>
      </c>
      <c r="H367" t="s">
        <v>13</v>
      </c>
      <c r="I367" t="s">
        <v>14</v>
      </c>
      <c r="J367" t="s">
        <v>27</v>
      </c>
      <c r="K367" t="s">
        <v>16</v>
      </c>
      <c r="L367" t="s">
        <v>17</v>
      </c>
    </row>
    <row r="368" spans="1:12" x14ac:dyDescent="0.25">
      <c r="A368" t="s">
        <v>757</v>
      </c>
      <c r="B368">
        <v>5</v>
      </c>
      <c r="C368" s="1">
        <v>44586</v>
      </c>
      <c r="D368" s="2">
        <v>0.20972222222222223</v>
      </c>
      <c r="E368" t="s">
        <v>758</v>
      </c>
      <c r="F368" t="s">
        <v>36</v>
      </c>
      <c r="G368" t="s">
        <v>36</v>
      </c>
      <c r="H368" t="s">
        <v>36</v>
      </c>
      <c r="I368" t="s">
        <v>13</v>
      </c>
      <c r="J368" t="s">
        <v>27</v>
      </c>
      <c r="K368" t="s">
        <v>21</v>
      </c>
      <c r="L368" t="s">
        <v>17</v>
      </c>
    </row>
    <row r="369" spans="1:12" x14ac:dyDescent="0.25">
      <c r="A369" t="s">
        <v>759</v>
      </c>
      <c r="B369">
        <v>1</v>
      </c>
      <c r="C369" s="1">
        <v>44586</v>
      </c>
      <c r="D369" s="2">
        <v>0.18888888888888888</v>
      </c>
      <c r="E369" t="s">
        <v>760</v>
      </c>
      <c r="F369" t="s">
        <v>13</v>
      </c>
      <c r="G369" t="s">
        <v>13</v>
      </c>
      <c r="H369" t="s">
        <v>13</v>
      </c>
      <c r="I369" t="s">
        <v>14</v>
      </c>
      <c r="J369" t="s">
        <v>27</v>
      </c>
      <c r="K369" t="s">
        <v>28</v>
      </c>
      <c r="L369" t="s">
        <v>17</v>
      </c>
    </row>
    <row r="370" spans="1:12" x14ac:dyDescent="0.25">
      <c r="A370" t="s">
        <v>761</v>
      </c>
      <c r="B370">
        <v>1</v>
      </c>
      <c r="C370" s="1">
        <v>44586</v>
      </c>
      <c r="D370" s="2">
        <v>0.17152777777777775</v>
      </c>
      <c r="E370" t="s">
        <v>762</v>
      </c>
      <c r="F370" t="s">
        <v>13</v>
      </c>
      <c r="G370" t="s">
        <v>13</v>
      </c>
      <c r="H370" t="s">
        <v>13</v>
      </c>
      <c r="I370" t="s">
        <v>14</v>
      </c>
      <c r="J370" t="s">
        <v>27</v>
      </c>
      <c r="K370" t="s">
        <v>21</v>
      </c>
      <c r="L370" t="s">
        <v>17</v>
      </c>
    </row>
    <row r="371" spans="1:12" x14ac:dyDescent="0.25">
      <c r="A371" t="s">
        <v>763</v>
      </c>
      <c r="B371">
        <v>3</v>
      </c>
      <c r="C371" s="1">
        <v>44586</v>
      </c>
      <c r="D371" s="2">
        <v>0.66180555555555554</v>
      </c>
      <c r="E371" t="s">
        <v>764</v>
      </c>
      <c r="F371" t="s">
        <v>13</v>
      </c>
      <c r="G371" t="s">
        <v>13</v>
      </c>
      <c r="H371" t="s">
        <v>13</v>
      </c>
      <c r="I371" t="s">
        <v>14</v>
      </c>
      <c r="J371" t="s">
        <v>27</v>
      </c>
      <c r="K371" t="s">
        <v>28</v>
      </c>
      <c r="L371" t="s">
        <v>17</v>
      </c>
    </row>
    <row r="372" spans="1:12" x14ac:dyDescent="0.25">
      <c r="A372" t="s">
        <v>765</v>
      </c>
      <c r="B372">
        <v>1</v>
      </c>
      <c r="C372" s="1">
        <v>44586</v>
      </c>
      <c r="D372" s="2">
        <v>0.64930555555555558</v>
      </c>
      <c r="E372" t="s">
        <v>766</v>
      </c>
      <c r="F372" t="s">
        <v>13</v>
      </c>
      <c r="G372" t="s">
        <v>13</v>
      </c>
      <c r="H372" t="s">
        <v>13</v>
      </c>
      <c r="I372" t="s">
        <v>14</v>
      </c>
      <c r="J372" t="s">
        <v>27</v>
      </c>
      <c r="K372" t="s">
        <v>21</v>
      </c>
      <c r="L372" t="s">
        <v>17</v>
      </c>
    </row>
    <row r="373" spans="1:12" x14ac:dyDescent="0.25">
      <c r="A373" t="s">
        <v>767</v>
      </c>
      <c r="B373">
        <v>1</v>
      </c>
      <c r="C373" s="1">
        <v>44586</v>
      </c>
      <c r="D373" s="2">
        <v>0.63611111111111118</v>
      </c>
      <c r="E373" t="s">
        <v>768</v>
      </c>
      <c r="F373" t="s">
        <v>13</v>
      </c>
      <c r="G373" t="s">
        <v>13</v>
      </c>
      <c r="H373" t="s">
        <v>13</v>
      </c>
      <c r="I373" t="s">
        <v>14</v>
      </c>
      <c r="J373" t="s">
        <v>27</v>
      </c>
      <c r="K373" t="s">
        <v>21</v>
      </c>
      <c r="L373" t="s">
        <v>17</v>
      </c>
    </row>
    <row r="374" spans="1:12" x14ac:dyDescent="0.25">
      <c r="A374" t="s">
        <v>769</v>
      </c>
      <c r="B374">
        <v>1</v>
      </c>
      <c r="C374" s="1">
        <v>44586</v>
      </c>
      <c r="D374" s="2">
        <v>0.59097222222222223</v>
      </c>
      <c r="E374" t="s">
        <v>770</v>
      </c>
      <c r="F374" t="s">
        <v>13</v>
      </c>
      <c r="G374" t="s">
        <v>13</v>
      </c>
      <c r="H374" t="s">
        <v>13</v>
      </c>
      <c r="I374" t="s">
        <v>14</v>
      </c>
      <c r="J374" t="s">
        <v>27</v>
      </c>
      <c r="K374" t="s">
        <v>28</v>
      </c>
      <c r="L374" t="s">
        <v>17</v>
      </c>
    </row>
    <row r="375" spans="1:12" x14ac:dyDescent="0.25">
      <c r="A375" t="s">
        <v>771</v>
      </c>
      <c r="B375">
        <v>1</v>
      </c>
      <c r="C375" s="1">
        <v>44586</v>
      </c>
      <c r="D375" s="2">
        <v>0.57430555555555551</v>
      </c>
      <c r="E375" t="s">
        <v>772</v>
      </c>
      <c r="F375" t="s">
        <v>13</v>
      </c>
      <c r="G375" t="s">
        <v>13</v>
      </c>
      <c r="H375" t="s">
        <v>13</v>
      </c>
      <c r="I375" t="s">
        <v>14</v>
      </c>
      <c r="J375" t="s">
        <v>27</v>
      </c>
      <c r="K375" t="s">
        <v>21</v>
      </c>
      <c r="L375" t="s">
        <v>17</v>
      </c>
    </row>
    <row r="376" spans="1:12" x14ac:dyDescent="0.25">
      <c r="A376" t="s">
        <v>773</v>
      </c>
      <c r="B376">
        <v>1</v>
      </c>
      <c r="C376" s="1">
        <v>44586</v>
      </c>
      <c r="D376" s="2">
        <v>0.55625000000000002</v>
      </c>
      <c r="E376" t="s">
        <v>774</v>
      </c>
      <c r="F376" t="s">
        <v>13</v>
      </c>
      <c r="G376" t="s">
        <v>13</v>
      </c>
      <c r="H376" t="s">
        <v>13</v>
      </c>
      <c r="I376" t="s">
        <v>14</v>
      </c>
      <c r="J376" t="s">
        <v>27</v>
      </c>
      <c r="K376" t="s">
        <v>16</v>
      </c>
      <c r="L376" t="s">
        <v>17</v>
      </c>
    </row>
    <row r="377" spans="1:12" x14ac:dyDescent="0.25">
      <c r="A377" t="s">
        <v>775</v>
      </c>
      <c r="B377">
        <v>1</v>
      </c>
      <c r="C377" s="1">
        <v>44586</v>
      </c>
      <c r="D377" s="2">
        <v>0.54375000000000007</v>
      </c>
      <c r="E377" t="s">
        <v>776</v>
      </c>
      <c r="F377" t="s">
        <v>13</v>
      </c>
      <c r="G377" t="s">
        <v>13</v>
      </c>
      <c r="H377" t="s">
        <v>13</v>
      </c>
      <c r="I377" t="s">
        <v>14</v>
      </c>
      <c r="J377" t="s">
        <v>27</v>
      </c>
      <c r="K377" t="s">
        <v>21</v>
      </c>
      <c r="L377" t="s">
        <v>17</v>
      </c>
    </row>
    <row r="378" spans="1:12" x14ac:dyDescent="0.25">
      <c r="A378" t="s">
        <v>777</v>
      </c>
      <c r="B378">
        <v>1</v>
      </c>
      <c r="C378" s="1">
        <v>44586</v>
      </c>
      <c r="D378" s="2">
        <v>0.52222222222222225</v>
      </c>
      <c r="E378" t="s">
        <v>778</v>
      </c>
      <c r="F378" t="s">
        <v>13</v>
      </c>
      <c r="G378" t="s">
        <v>13</v>
      </c>
      <c r="H378" t="s">
        <v>13</v>
      </c>
      <c r="I378" t="s">
        <v>14</v>
      </c>
      <c r="J378" t="s">
        <v>27</v>
      </c>
      <c r="K378" t="s">
        <v>21</v>
      </c>
      <c r="L378" t="s">
        <v>17</v>
      </c>
    </row>
    <row r="379" spans="1:12" x14ac:dyDescent="0.25">
      <c r="A379" t="s">
        <v>779</v>
      </c>
      <c r="B379">
        <v>1</v>
      </c>
      <c r="C379" s="1">
        <v>44586</v>
      </c>
      <c r="D379" s="2">
        <v>0.50694444444444442</v>
      </c>
      <c r="E379" t="s">
        <v>780</v>
      </c>
      <c r="F379" t="s">
        <v>13</v>
      </c>
      <c r="G379" t="s">
        <v>13</v>
      </c>
      <c r="H379" t="s">
        <v>13</v>
      </c>
      <c r="I379" t="s">
        <v>14</v>
      </c>
      <c r="J379" t="s">
        <v>27</v>
      </c>
      <c r="K379" t="s">
        <v>21</v>
      </c>
      <c r="L379" t="s">
        <v>17</v>
      </c>
    </row>
    <row r="380" spans="1:12" x14ac:dyDescent="0.25">
      <c r="A380" t="s">
        <v>781</v>
      </c>
      <c r="B380">
        <v>1</v>
      </c>
      <c r="C380" s="1">
        <v>44586</v>
      </c>
      <c r="D380" s="2">
        <v>0.47083333333333338</v>
      </c>
      <c r="E380" t="s">
        <v>782</v>
      </c>
      <c r="F380" t="s">
        <v>13</v>
      </c>
      <c r="G380" t="s">
        <v>13</v>
      </c>
      <c r="H380" t="s">
        <v>13</v>
      </c>
      <c r="I380" t="s">
        <v>14</v>
      </c>
      <c r="J380" t="s">
        <v>27</v>
      </c>
      <c r="K380" t="s">
        <v>28</v>
      </c>
      <c r="L380" t="s">
        <v>17</v>
      </c>
    </row>
    <row r="381" spans="1:12" x14ac:dyDescent="0.25">
      <c r="A381" t="s">
        <v>783</v>
      </c>
      <c r="B381">
        <v>1</v>
      </c>
      <c r="C381" s="1">
        <v>44586</v>
      </c>
      <c r="D381" s="2">
        <v>0.45624999999999999</v>
      </c>
      <c r="E381" t="s">
        <v>784</v>
      </c>
      <c r="F381" t="s">
        <v>13</v>
      </c>
      <c r="G381" t="s">
        <v>13</v>
      </c>
      <c r="H381" t="s">
        <v>13</v>
      </c>
      <c r="I381" t="s">
        <v>14</v>
      </c>
      <c r="J381" t="s">
        <v>27</v>
      </c>
      <c r="K381" t="s">
        <v>21</v>
      </c>
      <c r="L381" t="s">
        <v>17</v>
      </c>
    </row>
    <row r="382" spans="1:12" x14ac:dyDescent="0.25">
      <c r="A382" t="s">
        <v>785</v>
      </c>
      <c r="B382">
        <v>1</v>
      </c>
      <c r="C382" s="1">
        <v>44586</v>
      </c>
      <c r="D382" s="2">
        <v>0.42777777777777781</v>
      </c>
      <c r="E382" t="s">
        <v>786</v>
      </c>
      <c r="F382" t="s">
        <v>13</v>
      </c>
      <c r="G382" t="s">
        <v>13</v>
      </c>
      <c r="H382" t="s">
        <v>13</v>
      </c>
      <c r="I382" t="s">
        <v>14</v>
      </c>
      <c r="J382" t="s">
        <v>27</v>
      </c>
      <c r="K382" t="s">
        <v>28</v>
      </c>
      <c r="L382" t="s">
        <v>17</v>
      </c>
    </row>
    <row r="383" spans="1:12" x14ac:dyDescent="0.25">
      <c r="A383" t="s">
        <v>787</v>
      </c>
      <c r="B383">
        <v>4</v>
      </c>
      <c r="C383" s="1">
        <v>44585</v>
      </c>
      <c r="D383" s="2">
        <v>0.37152777777777773</v>
      </c>
      <c r="E383" t="s">
        <v>788</v>
      </c>
      <c r="F383" t="s">
        <v>13</v>
      </c>
      <c r="G383" t="s">
        <v>13</v>
      </c>
      <c r="H383" t="s">
        <v>13</v>
      </c>
      <c r="I383" t="s">
        <v>14</v>
      </c>
      <c r="J383" t="s">
        <v>27</v>
      </c>
      <c r="K383" t="s">
        <v>21</v>
      </c>
      <c r="L383" t="s">
        <v>17</v>
      </c>
    </row>
    <row r="384" spans="1:12" x14ac:dyDescent="0.25">
      <c r="A384" t="s">
        <v>789</v>
      </c>
      <c r="B384">
        <v>1</v>
      </c>
      <c r="C384" s="1">
        <v>44585</v>
      </c>
      <c r="D384" s="2">
        <v>0.33124999999999999</v>
      </c>
      <c r="E384" t="s">
        <v>790</v>
      </c>
      <c r="F384" t="s">
        <v>13</v>
      </c>
      <c r="G384" t="s">
        <v>13</v>
      </c>
      <c r="H384" t="s">
        <v>13</v>
      </c>
      <c r="I384" t="s">
        <v>14</v>
      </c>
      <c r="J384" t="s">
        <v>27</v>
      </c>
      <c r="K384" t="s">
        <v>16</v>
      </c>
      <c r="L384" t="s">
        <v>17</v>
      </c>
    </row>
    <row r="385" spans="1:12" x14ac:dyDescent="0.25">
      <c r="A385" t="s">
        <v>791</v>
      </c>
      <c r="B385">
        <v>4</v>
      </c>
      <c r="C385" s="1">
        <v>44585</v>
      </c>
      <c r="D385" s="2">
        <v>0.25763888888888892</v>
      </c>
      <c r="E385" t="s">
        <v>792</v>
      </c>
      <c r="F385" t="s">
        <v>36</v>
      </c>
      <c r="G385" t="s">
        <v>36</v>
      </c>
      <c r="H385" t="s">
        <v>36</v>
      </c>
      <c r="I385" t="s">
        <v>13</v>
      </c>
      <c r="J385" t="s">
        <v>27</v>
      </c>
      <c r="K385" t="s">
        <v>21</v>
      </c>
      <c r="L385" t="s">
        <v>17</v>
      </c>
    </row>
    <row r="386" spans="1:12" x14ac:dyDescent="0.25">
      <c r="A386" t="s">
        <v>793</v>
      </c>
      <c r="B386">
        <v>1</v>
      </c>
      <c r="C386" s="1">
        <v>44585</v>
      </c>
      <c r="D386" s="2">
        <v>0.25416666666666665</v>
      </c>
      <c r="E386" t="s">
        <v>794</v>
      </c>
      <c r="F386" t="s">
        <v>13</v>
      </c>
      <c r="G386" t="s">
        <v>13</v>
      </c>
      <c r="H386" t="s">
        <v>13</v>
      </c>
      <c r="I386" t="s">
        <v>14</v>
      </c>
      <c r="J386" t="s">
        <v>27</v>
      </c>
      <c r="K386" t="s">
        <v>16</v>
      </c>
      <c r="L386" t="s">
        <v>17</v>
      </c>
    </row>
    <row r="387" spans="1:12" x14ac:dyDescent="0.25">
      <c r="A387" t="s">
        <v>795</v>
      </c>
      <c r="B387">
        <v>1</v>
      </c>
      <c r="C387" s="1">
        <v>44585</v>
      </c>
      <c r="D387" s="2">
        <v>0.23472222222222219</v>
      </c>
      <c r="E387" t="s">
        <v>796</v>
      </c>
      <c r="F387" t="s">
        <v>13</v>
      </c>
      <c r="G387" t="s">
        <v>13</v>
      </c>
      <c r="H387" t="s">
        <v>13</v>
      </c>
      <c r="I387" t="s">
        <v>14</v>
      </c>
      <c r="J387" t="s">
        <v>27</v>
      </c>
      <c r="K387" t="s">
        <v>21</v>
      </c>
      <c r="L387" t="s">
        <v>17</v>
      </c>
    </row>
    <row r="388" spans="1:12" x14ac:dyDescent="0.25">
      <c r="A388" t="s">
        <v>797</v>
      </c>
      <c r="B388">
        <v>1</v>
      </c>
      <c r="C388" s="1">
        <v>44585</v>
      </c>
      <c r="D388" s="2">
        <v>0.1388888888888889</v>
      </c>
      <c r="E388" t="s">
        <v>798</v>
      </c>
      <c r="F388" t="s">
        <v>13</v>
      </c>
      <c r="G388" t="s">
        <v>13</v>
      </c>
      <c r="H388" t="s">
        <v>13</v>
      </c>
      <c r="I388" t="s">
        <v>14</v>
      </c>
      <c r="J388" t="s">
        <v>27</v>
      </c>
      <c r="K388" t="s">
        <v>21</v>
      </c>
      <c r="L388" t="s">
        <v>17</v>
      </c>
    </row>
    <row r="389" spans="1:12" x14ac:dyDescent="0.25">
      <c r="A389" t="s">
        <v>799</v>
      </c>
      <c r="B389">
        <v>1</v>
      </c>
      <c r="C389" s="1">
        <v>44585</v>
      </c>
      <c r="D389" s="2">
        <v>9.8611111111111108E-2</v>
      </c>
      <c r="E389" t="s">
        <v>800</v>
      </c>
      <c r="F389" t="s">
        <v>13</v>
      </c>
      <c r="G389" t="s">
        <v>13</v>
      </c>
      <c r="H389" t="s">
        <v>13</v>
      </c>
      <c r="I389" t="s">
        <v>14</v>
      </c>
      <c r="J389" t="s">
        <v>27</v>
      </c>
      <c r="K389" t="s">
        <v>21</v>
      </c>
      <c r="L389" t="s">
        <v>17</v>
      </c>
    </row>
    <row r="390" spans="1:12" x14ac:dyDescent="0.25">
      <c r="A390" t="s">
        <v>801</v>
      </c>
      <c r="B390">
        <v>2</v>
      </c>
      <c r="C390" s="1">
        <v>44585</v>
      </c>
      <c r="D390" s="2">
        <v>0.78402777777777777</v>
      </c>
      <c r="E390" t="s">
        <v>802</v>
      </c>
      <c r="F390" t="s">
        <v>13</v>
      </c>
      <c r="G390" t="s">
        <v>13</v>
      </c>
      <c r="H390" t="s">
        <v>13</v>
      </c>
      <c r="I390" t="s">
        <v>14</v>
      </c>
      <c r="J390" t="s">
        <v>27</v>
      </c>
      <c r="K390" t="s">
        <v>21</v>
      </c>
      <c r="L390" t="s">
        <v>17</v>
      </c>
    </row>
    <row r="391" spans="1:12" x14ac:dyDescent="0.25">
      <c r="A391" t="s">
        <v>803</v>
      </c>
      <c r="B391">
        <v>1</v>
      </c>
      <c r="C391" s="1">
        <v>44585</v>
      </c>
      <c r="D391" s="2">
        <v>0.77916666666666667</v>
      </c>
      <c r="E391" t="s">
        <v>804</v>
      </c>
      <c r="F391" t="s">
        <v>13</v>
      </c>
      <c r="G391" t="s">
        <v>13</v>
      </c>
      <c r="H391" t="s">
        <v>13</v>
      </c>
      <c r="I391" t="s">
        <v>14</v>
      </c>
      <c r="J391" t="s">
        <v>27</v>
      </c>
      <c r="K391" t="s">
        <v>16</v>
      </c>
      <c r="L391" t="s">
        <v>17</v>
      </c>
    </row>
    <row r="392" spans="1:12" x14ac:dyDescent="0.25">
      <c r="A392" t="s">
        <v>805</v>
      </c>
      <c r="B392">
        <v>1</v>
      </c>
      <c r="C392" s="1">
        <v>44585</v>
      </c>
      <c r="D392" s="2">
        <v>0.7319444444444444</v>
      </c>
      <c r="E392" t="s">
        <v>806</v>
      </c>
      <c r="F392" t="s">
        <v>13</v>
      </c>
      <c r="G392" t="s">
        <v>13</v>
      </c>
      <c r="H392" t="s">
        <v>13</v>
      </c>
      <c r="I392" t="s">
        <v>14</v>
      </c>
      <c r="J392" t="s">
        <v>27</v>
      </c>
      <c r="K392" t="s">
        <v>21</v>
      </c>
      <c r="L392" t="s">
        <v>17</v>
      </c>
    </row>
    <row r="393" spans="1:12" x14ac:dyDescent="0.25">
      <c r="A393" t="s">
        <v>807</v>
      </c>
      <c r="B393">
        <v>2</v>
      </c>
      <c r="C393" s="1">
        <v>44585</v>
      </c>
      <c r="D393" s="2">
        <v>0.57500000000000007</v>
      </c>
      <c r="E393" t="s">
        <v>808</v>
      </c>
      <c r="F393" t="s">
        <v>13</v>
      </c>
      <c r="G393" t="s">
        <v>13</v>
      </c>
      <c r="H393" t="s">
        <v>13</v>
      </c>
      <c r="I393" t="s">
        <v>14</v>
      </c>
      <c r="J393" t="s">
        <v>27</v>
      </c>
      <c r="K393" t="s">
        <v>21</v>
      </c>
      <c r="L393" t="s">
        <v>17</v>
      </c>
    </row>
    <row r="394" spans="1:12" x14ac:dyDescent="0.25">
      <c r="A394" t="s">
        <v>809</v>
      </c>
      <c r="B394">
        <v>1</v>
      </c>
      <c r="C394" s="1">
        <v>44585</v>
      </c>
      <c r="D394" s="2">
        <v>0.43958333333333338</v>
      </c>
      <c r="E394" t="s">
        <v>810</v>
      </c>
      <c r="F394" t="s">
        <v>13</v>
      </c>
      <c r="G394" t="s">
        <v>13</v>
      </c>
      <c r="H394" t="s">
        <v>13</v>
      </c>
      <c r="I394" t="s">
        <v>14</v>
      </c>
      <c r="J394" t="s">
        <v>27</v>
      </c>
      <c r="K394" t="s">
        <v>21</v>
      </c>
      <c r="L394" t="s">
        <v>17</v>
      </c>
    </row>
    <row r="395" spans="1:12" x14ac:dyDescent="0.25">
      <c r="A395" t="s">
        <v>811</v>
      </c>
      <c r="B395">
        <v>1</v>
      </c>
      <c r="C395" s="1">
        <v>44584</v>
      </c>
      <c r="D395" s="2">
        <v>0.41180555555555554</v>
      </c>
      <c r="E395" t="s">
        <v>812</v>
      </c>
      <c r="F395" t="s">
        <v>13</v>
      </c>
      <c r="G395" t="s">
        <v>13</v>
      </c>
      <c r="H395" t="s">
        <v>13</v>
      </c>
      <c r="I395" t="s">
        <v>14</v>
      </c>
      <c r="J395" t="s">
        <v>27</v>
      </c>
      <c r="K395" t="s">
        <v>21</v>
      </c>
      <c r="L395" t="s">
        <v>17</v>
      </c>
    </row>
    <row r="396" spans="1:12" x14ac:dyDescent="0.25">
      <c r="A396" t="s">
        <v>813</v>
      </c>
      <c r="B396">
        <v>1</v>
      </c>
      <c r="C396" s="1">
        <v>44584</v>
      </c>
      <c r="D396" s="2">
        <v>0.32569444444444445</v>
      </c>
      <c r="E396" t="s">
        <v>814</v>
      </c>
      <c r="F396" t="s">
        <v>13</v>
      </c>
      <c r="G396" t="s">
        <v>13</v>
      </c>
      <c r="H396" t="s">
        <v>13</v>
      </c>
      <c r="I396" t="s">
        <v>14</v>
      </c>
      <c r="J396" t="s">
        <v>27</v>
      </c>
      <c r="K396" t="s">
        <v>21</v>
      </c>
      <c r="L396" t="s">
        <v>17</v>
      </c>
    </row>
    <row r="397" spans="1:12" x14ac:dyDescent="0.25">
      <c r="A397" t="s">
        <v>815</v>
      </c>
      <c r="B397">
        <v>1</v>
      </c>
      <c r="C397" s="1">
        <v>44584</v>
      </c>
      <c r="D397" s="2">
        <v>0.23680555555555557</v>
      </c>
      <c r="E397" t="s">
        <v>816</v>
      </c>
      <c r="F397" t="s">
        <v>13</v>
      </c>
      <c r="G397" t="s">
        <v>13</v>
      </c>
      <c r="H397" t="s">
        <v>13</v>
      </c>
      <c r="I397" t="s">
        <v>14</v>
      </c>
      <c r="J397" t="s">
        <v>27</v>
      </c>
      <c r="K397" t="s">
        <v>21</v>
      </c>
      <c r="L397" t="s">
        <v>17</v>
      </c>
    </row>
    <row r="398" spans="1:12" x14ac:dyDescent="0.25">
      <c r="A398" t="s">
        <v>817</v>
      </c>
      <c r="B398">
        <v>1</v>
      </c>
      <c r="C398" s="1">
        <v>44584</v>
      </c>
      <c r="D398" s="2">
        <v>0.99305555555555547</v>
      </c>
      <c r="E398" t="s">
        <v>818</v>
      </c>
      <c r="F398" t="s">
        <v>13</v>
      </c>
      <c r="G398" t="s">
        <v>13</v>
      </c>
      <c r="H398" t="s">
        <v>13</v>
      </c>
      <c r="I398" t="s">
        <v>14</v>
      </c>
      <c r="J398" t="s">
        <v>27</v>
      </c>
      <c r="K398" t="s">
        <v>21</v>
      </c>
      <c r="L398" t="s">
        <v>17</v>
      </c>
    </row>
    <row r="399" spans="1:12" x14ac:dyDescent="0.25">
      <c r="A399" t="s">
        <v>819</v>
      </c>
      <c r="B399">
        <v>5</v>
      </c>
      <c r="C399" s="1">
        <v>44584</v>
      </c>
      <c r="D399" s="2">
        <v>0.96111111111111114</v>
      </c>
      <c r="E399" t="s">
        <v>820</v>
      </c>
      <c r="F399" t="s">
        <v>36</v>
      </c>
      <c r="G399" t="s">
        <v>36</v>
      </c>
      <c r="H399" t="s">
        <v>36</v>
      </c>
      <c r="I399" t="s">
        <v>13</v>
      </c>
      <c r="J399" t="s">
        <v>27</v>
      </c>
      <c r="K399" t="s">
        <v>21</v>
      </c>
      <c r="L399" t="s">
        <v>17</v>
      </c>
    </row>
    <row r="400" spans="1:12" x14ac:dyDescent="0.25">
      <c r="A400" t="s">
        <v>821</v>
      </c>
      <c r="B400">
        <v>2</v>
      </c>
      <c r="C400" s="1">
        <v>44584</v>
      </c>
      <c r="D400" s="2">
        <v>0.8354166666666667</v>
      </c>
      <c r="E400" t="s">
        <v>822</v>
      </c>
      <c r="F400" t="s">
        <v>13</v>
      </c>
      <c r="G400" t="s">
        <v>13</v>
      </c>
      <c r="H400" t="s">
        <v>13</v>
      </c>
      <c r="I400" t="s">
        <v>14</v>
      </c>
      <c r="J400" t="s">
        <v>27</v>
      </c>
      <c r="K400" t="s">
        <v>21</v>
      </c>
      <c r="L400" t="s">
        <v>17</v>
      </c>
    </row>
    <row r="401" spans="1:12" x14ac:dyDescent="0.25">
      <c r="A401" t="s">
        <v>823</v>
      </c>
      <c r="B401">
        <v>4</v>
      </c>
      <c r="C401" s="1">
        <v>44584</v>
      </c>
      <c r="D401" s="2">
        <v>5.347222222222222E-2</v>
      </c>
      <c r="E401" t="s">
        <v>824</v>
      </c>
      <c r="F401" t="s">
        <v>13</v>
      </c>
      <c r="G401" t="s">
        <v>13</v>
      </c>
      <c r="H401" t="s">
        <v>13</v>
      </c>
      <c r="I401" t="s">
        <v>14</v>
      </c>
      <c r="J401" t="s">
        <v>27</v>
      </c>
      <c r="K401" t="s">
        <v>21</v>
      </c>
      <c r="L401" t="s">
        <v>17</v>
      </c>
    </row>
    <row r="402" spans="1:12" x14ac:dyDescent="0.25">
      <c r="A402" t="s">
        <v>825</v>
      </c>
      <c r="B402">
        <v>1</v>
      </c>
      <c r="C402" s="1">
        <v>44584</v>
      </c>
      <c r="D402" s="2">
        <v>4.3750000000000004E-2</v>
      </c>
      <c r="E402" t="s">
        <v>826</v>
      </c>
      <c r="F402" t="s">
        <v>31</v>
      </c>
      <c r="G402" t="s">
        <v>31</v>
      </c>
      <c r="H402" t="s">
        <v>31</v>
      </c>
      <c r="I402" t="s">
        <v>32</v>
      </c>
      <c r="J402" t="s">
        <v>27</v>
      </c>
      <c r="K402" t="s">
        <v>28</v>
      </c>
      <c r="L402" t="s">
        <v>33</v>
      </c>
    </row>
    <row r="403" spans="1:12" x14ac:dyDescent="0.25">
      <c r="A403" t="s">
        <v>827</v>
      </c>
      <c r="B403">
        <v>2</v>
      </c>
      <c r="C403" s="1">
        <v>44584</v>
      </c>
      <c r="D403" s="2">
        <v>0.71944444444444444</v>
      </c>
      <c r="E403" t="s">
        <v>828</v>
      </c>
      <c r="F403" t="s">
        <v>13</v>
      </c>
      <c r="G403" t="s">
        <v>13</v>
      </c>
      <c r="H403" t="s">
        <v>13</v>
      </c>
      <c r="I403" t="s">
        <v>14</v>
      </c>
      <c r="J403" t="s">
        <v>27</v>
      </c>
      <c r="K403" t="s">
        <v>21</v>
      </c>
      <c r="L403" t="s">
        <v>17</v>
      </c>
    </row>
    <row r="404" spans="1:12" x14ac:dyDescent="0.25">
      <c r="A404" t="s">
        <v>829</v>
      </c>
      <c r="B404">
        <v>1</v>
      </c>
      <c r="C404" s="1">
        <v>44584</v>
      </c>
      <c r="D404" s="2">
        <v>0.67152777777777783</v>
      </c>
      <c r="E404" t="s">
        <v>830</v>
      </c>
      <c r="F404" t="s">
        <v>13</v>
      </c>
      <c r="G404" t="s">
        <v>13</v>
      </c>
      <c r="H404" t="s">
        <v>13</v>
      </c>
      <c r="I404" t="s">
        <v>14</v>
      </c>
      <c r="J404" t="s">
        <v>27</v>
      </c>
      <c r="K404" t="s">
        <v>28</v>
      </c>
      <c r="L404" t="s">
        <v>17</v>
      </c>
    </row>
    <row r="405" spans="1:12" x14ac:dyDescent="0.25">
      <c r="A405" t="s">
        <v>831</v>
      </c>
      <c r="B405">
        <v>2</v>
      </c>
      <c r="C405" s="1">
        <v>44584</v>
      </c>
      <c r="D405" s="2">
        <v>0.56319444444444444</v>
      </c>
      <c r="E405" t="s">
        <v>832</v>
      </c>
      <c r="F405" t="s">
        <v>13</v>
      </c>
      <c r="G405" t="s">
        <v>13</v>
      </c>
      <c r="H405" t="s">
        <v>13</v>
      </c>
      <c r="I405" t="s">
        <v>14</v>
      </c>
      <c r="J405" t="s">
        <v>27</v>
      </c>
      <c r="K405" t="s">
        <v>21</v>
      </c>
      <c r="L405" t="s">
        <v>17</v>
      </c>
    </row>
    <row r="406" spans="1:12" x14ac:dyDescent="0.25">
      <c r="A406" t="s">
        <v>833</v>
      </c>
      <c r="B406">
        <v>1</v>
      </c>
      <c r="C406" s="1">
        <v>44584</v>
      </c>
      <c r="D406" s="2">
        <v>0.56180555555555556</v>
      </c>
      <c r="E406" t="s">
        <v>834</v>
      </c>
      <c r="F406" t="s">
        <v>31</v>
      </c>
      <c r="G406" t="s">
        <v>31</v>
      </c>
      <c r="H406" t="s">
        <v>31</v>
      </c>
      <c r="I406" t="s">
        <v>32</v>
      </c>
      <c r="J406" t="s">
        <v>27</v>
      </c>
      <c r="K406" t="s">
        <v>21</v>
      </c>
      <c r="L406" t="s">
        <v>33</v>
      </c>
    </row>
    <row r="407" spans="1:12" x14ac:dyDescent="0.25">
      <c r="A407" t="s">
        <v>835</v>
      </c>
      <c r="B407">
        <v>4</v>
      </c>
      <c r="C407" s="1">
        <v>44584</v>
      </c>
      <c r="D407" s="2">
        <v>0.51041666666666663</v>
      </c>
      <c r="E407" t="s">
        <v>836</v>
      </c>
      <c r="F407" t="s">
        <v>27</v>
      </c>
      <c r="G407" t="s">
        <v>27</v>
      </c>
      <c r="H407" t="s">
        <v>27</v>
      </c>
      <c r="I407" t="s">
        <v>27</v>
      </c>
      <c r="J407" t="s">
        <v>27</v>
      </c>
      <c r="K407" t="s">
        <v>21</v>
      </c>
      <c r="L407" t="s">
        <v>33</v>
      </c>
    </row>
    <row r="408" spans="1:12" x14ac:dyDescent="0.25">
      <c r="A408" t="s">
        <v>837</v>
      </c>
      <c r="B408">
        <v>5</v>
      </c>
      <c r="C408" s="1">
        <v>44584</v>
      </c>
      <c r="D408" s="2">
        <v>0.44375000000000003</v>
      </c>
      <c r="E408" t="s">
        <v>838</v>
      </c>
      <c r="F408" t="s">
        <v>36</v>
      </c>
      <c r="G408" t="s">
        <v>36</v>
      </c>
      <c r="H408" t="s">
        <v>36</v>
      </c>
      <c r="I408" t="s">
        <v>13</v>
      </c>
      <c r="J408" t="s">
        <v>27</v>
      </c>
      <c r="K408" t="s">
        <v>21</v>
      </c>
      <c r="L408" t="s">
        <v>17</v>
      </c>
    </row>
    <row r="409" spans="1:12" x14ac:dyDescent="0.25">
      <c r="A409" t="s">
        <v>839</v>
      </c>
      <c r="B409">
        <v>5</v>
      </c>
      <c r="C409" s="1">
        <v>44584</v>
      </c>
      <c r="D409" s="2">
        <v>3.4722222222222224E-2</v>
      </c>
      <c r="E409" t="s">
        <v>840</v>
      </c>
      <c r="F409" t="s">
        <v>13</v>
      </c>
      <c r="G409" t="s">
        <v>13</v>
      </c>
      <c r="H409" t="s">
        <v>13</v>
      </c>
      <c r="I409" t="s">
        <v>14</v>
      </c>
      <c r="J409" t="s">
        <v>27</v>
      </c>
      <c r="K409" t="s">
        <v>21</v>
      </c>
      <c r="L409" t="s">
        <v>17</v>
      </c>
    </row>
    <row r="410" spans="1:12" x14ac:dyDescent="0.25">
      <c r="A410" t="s">
        <v>841</v>
      </c>
      <c r="B410">
        <v>1</v>
      </c>
      <c r="C410" s="1">
        <v>44583</v>
      </c>
      <c r="D410" s="2">
        <v>0.31736111111111115</v>
      </c>
      <c r="E410" t="s">
        <v>842</v>
      </c>
      <c r="F410" t="s">
        <v>13</v>
      </c>
      <c r="G410" t="s">
        <v>13</v>
      </c>
      <c r="H410" t="s">
        <v>13</v>
      </c>
      <c r="I410" t="s">
        <v>14</v>
      </c>
      <c r="J410" t="s">
        <v>27</v>
      </c>
      <c r="K410" t="s">
        <v>16</v>
      </c>
      <c r="L410" t="s">
        <v>17</v>
      </c>
    </row>
    <row r="411" spans="1:12" x14ac:dyDescent="0.25">
      <c r="A411" t="s">
        <v>843</v>
      </c>
      <c r="B411">
        <v>3</v>
      </c>
      <c r="C411" s="1">
        <v>44583</v>
      </c>
      <c r="D411" s="2">
        <v>0.28402777777777777</v>
      </c>
      <c r="E411" t="s">
        <v>844</v>
      </c>
      <c r="F411" t="s">
        <v>13</v>
      </c>
      <c r="G411" t="s">
        <v>13</v>
      </c>
      <c r="H411" t="s">
        <v>13</v>
      </c>
      <c r="I411" t="s">
        <v>14</v>
      </c>
      <c r="J411" t="s">
        <v>27</v>
      </c>
      <c r="K411" t="s">
        <v>21</v>
      </c>
      <c r="L411" t="s">
        <v>17</v>
      </c>
    </row>
    <row r="412" spans="1:12" x14ac:dyDescent="0.25">
      <c r="A412" t="s">
        <v>845</v>
      </c>
      <c r="B412">
        <v>1</v>
      </c>
      <c r="C412" s="1">
        <v>44583</v>
      </c>
      <c r="D412" s="2">
        <v>0.17222222222222225</v>
      </c>
      <c r="E412" t="s">
        <v>846</v>
      </c>
      <c r="F412" t="s">
        <v>13</v>
      </c>
      <c r="G412" t="s">
        <v>13</v>
      </c>
      <c r="H412" t="s">
        <v>13</v>
      </c>
      <c r="I412" t="s">
        <v>14</v>
      </c>
      <c r="J412" t="s">
        <v>27</v>
      </c>
      <c r="K412" t="s">
        <v>21</v>
      </c>
      <c r="L412" t="s">
        <v>17</v>
      </c>
    </row>
    <row r="413" spans="1:12" x14ac:dyDescent="0.25">
      <c r="A413" t="s">
        <v>847</v>
      </c>
      <c r="B413">
        <v>1</v>
      </c>
      <c r="C413" s="1">
        <v>44583</v>
      </c>
      <c r="D413" s="2">
        <v>0.83958333333333324</v>
      </c>
      <c r="E413" t="s">
        <v>848</v>
      </c>
      <c r="F413" t="s">
        <v>13</v>
      </c>
      <c r="G413" t="s">
        <v>13</v>
      </c>
      <c r="H413" t="s">
        <v>13</v>
      </c>
      <c r="I413" t="s">
        <v>14</v>
      </c>
      <c r="J413" t="s">
        <v>27</v>
      </c>
      <c r="K413" t="s">
        <v>21</v>
      </c>
      <c r="L413" t="s">
        <v>17</v>
      </c>
    </row>
    <row r="414" spans="1:12" x14ac:dyDescent="0.25">
      <c r="A414" t="s">
        <v>849</v>
      </c>
      <c r="B414">
        <v>1</v>
      </c>
      <c r="C414" s="1">
        <v>44583</v>
      </c>
      <c r="D414" s="2">
        <v>0.75902777777777775</v>
      </c>
      <c r="E414" t="s">
        <v>850</v>
      </c>
      <c r="F414" t="s">
        <v>13</v>
      </c>
      <c r="G414" t="s">
        <v>13</v>
      </c>
      <c r="H414" t="s">
        <v>13</v>
      </c>
      <c r="I414" t="s">
        <v>14</v>
      </c>
      <c r="J414" t="s">
        <v>27</v>
      </c>
      <c r="K414" t="s">
        <v>21</v>
      </c>
      <c r="L414" t="s">
        <v>17</v>
      </c>
    </row>
    <row r="415" spans="1:12" x14ac:dyDescent="0.25">
      <c r="A415" t="s">
        <v>851</v>
      </c>
      <c r="B415">
        <v>5</v>
      </c>
      <c r="C415" s="1">
        <v>44583</v>
      </c>
      <c r="D415" s="2">
        <v>0.59513888888888888</v>
      </c>
      <c r="E415" t="s">
        <v>852</v>
      </c>
      <c r="F415" t="s">
        <v>36</v>
      </c>
      <c r="G415" t="s">
        <v>36</v>
      </c>
      <c r="H415" t="s">
        <v>36</v>
      </c>
      <c r="I415" t="s">
        <v>13</v>
      </c>
      <c r="J415" t="s">
        <v>27</v>
      </c>
      <c r="K415" t="s">
        <v>21</v>
      </c>
      <c r="L415" t="s">
        <v>17</v>
      </c>
    </row>
    <row r="416" spans="1:12" x14ac:dyDescent="0.25">
      <c r="A416" t="s">
        <v>853</v>
      </c>
      <c r="B416">
        <v>5</v>
      </c>
      <c r="C416" s="1">
        <v>44583</v>
      </c>
      <c r="D416" s="2">
        <v>0.52430555555555558</v>
      </c>
      <c r="E416" t="s">
        <v>854</v>
      </c>
      <c r="F416" t="s">
        <v>36</v>
      </c>
      <c r="G416" t="s">
        <v>36</v>
      </c>
      <c r="H416" t="s">
        <v>36</v>
      </c>
      <c r="I416" t="s">
        <v>13</v>
      </c>
      <c r="J416" t="s">
        <v>27</v>
      </c>
      <c r="K416" t="s">
        <v>21</v>
      </c>
      <c r="L416" t="s">
        <v>17</v>
      </c>
    </row>
    <row r="417" spans="1:12" x14ac:dyDescent="0.25">
      <c r="A417" t="s">
        <v>855</v>
      </c>
      <c r="B417">
        <v>2</v>
      </c>
      <c r="C417" s="1">
        <v>44583</v>
      </c>
      <c r="D417" s="2">
        <v>0.51597222222222217</v>
      </c>
      <c r="E417" t="s">
        <v>856</v>
      </c>
      <c r="F417" t="s">
        <v>13</v>
      </c>
      <c r="G417" t="s">
        <v>13</v>
      </c>
      <c r="H417" t="s">
        <v>13</v>
      </c>
      <c r="I417" t="s">
        <v>14</v>
      </c>
      <c r="J417" t="s">
        <v>27</v>
      </c>
      <c r="K417" t="s">
        <v>21</v>
      </c>
      <c r="L417" t="s">
        <v>17</v>
      </c>
    </row>
    <row r="418" spans="1:12" x14ac:dyDescent="0.25">
      <c r="A418" t="s">
        <v>857</v>
      </c>
      <c r="B418">
        <v>1</v>
      </c>
      <c r="C418" s="1">
        <v>44583</v>
      </c>
      <c r="D418" s="2">
        <v>0.50763888888888886</v>
      </c>
      <c r="E418" t="s">
        <v>858</v>
      </c>
      <c r="F418" t="s">
        <v>13</v>
      </c>
      <c r="G418" t="s">
        <v>13</v>
      </c>
      <c r="H418" t="s">
        <v>13</v>
      </c>
      <c r="I418" t="s">
        <v>14</v>
      </c>
      <c r="J418" t="s">
        <v>27</v>
      </c>
      <c r="K418" t="s">
        <v>21</v>
      </c>
      <c r="L418" t="s">
        <v>17</v>
      </c>
    </row>
    <row r="419" spans="1:12" x14ac:dyDescent="0.25">
      <c r="A419" t="s">
        <v>859</v>
      </c>
      <c r="B419">
        <v>1</v>
      </c>
      <c r="C419" s="1">
        <v>44583</v>
      </c>
      <c r="D419" s="2">
        <v>0.4909722222222222</v>
      </c>
      <c r="E419" t="s">
        <v>860</v>
      </c>
      <c r="F419" t="s">
        <v>13</v>
      </c>
      <c r="G419" t="s">
        <v>13</v>
      </c>
      <c r="H419" t="s">
        <v>13</v>
      </c>
      <c r="I419" t="s">
        <v>14</v>
      </c>
      <c r="J419" t="s">
        <v>27</v>
      </c>
      <c r="K419" t="s">
        <v>21</v>
      </c>
      <c r="L419" t="s">
        <v>17</v>
      </c>
    </row>
    <row r="420" spans="1:12" x14ac:dyDescent="0.25">
      <c r="A420" t="s">
        <v>861</v>
      </c>
      <c r="B420">
        <v>2</v>
      </c>
      <c r="C420" s="1">
        <v>44582</v>
      </c>
      <c r="D420" s="2">
        <v>0.3743055555555555</v>
      </c>
      <c r="E420" t="s">
        <v>862</v>
      </c>
      <c r="F420" t="s">
        <v>13</v>
      </c>
      <c r="G420" t="s">
        <v>13</v>
      </c>
      <c r="H420" t="s">
        <v>13</v>
      </c>
      <c r="I420" t="s">
        <v>14</v>
      </c>
      <c r="J420" t="s">
        <v>27</v>
      </c>
      <c r="K420" t="s">
        <v>16</v>
      </c>
      <c r="L420" t="s">
        <v>17</v>
      </c>
    </row>
    <row r="421" spans="1:12" x14ac:dyDescent="0.25">
      <c r="A421" t="s">
        <v>863</v>
      </c>
      <c r="B421">
        <v>1</v>
      </c>
      <c r="C421" s="1">
        <v>44582</v>
      </c>
      <c r="D421" s="2">
        <v>0.30763888888888891</v>
      </c>
      <c r="E421" t="s">
        <v>864</v>
      </c>
      <c r="F421" t="s">
        <v>13</v>
      </c>
      <c r="G421" t="s">
        <v>13</v>
      </c>
      <c r="H421" t="s">
        <v>13</v>
      </c>
      <c r="I421" t="s">
        <v>14</v>
      </c>
      <c r="J421" t="s">
        <v>27</v>
      </c>
      <c r="K421" t="s">
        <v>16</v>
      </c>
      <c r="L421" t="s">
        <v>17</v>
      </c>
    </row>
    <row r="422" spans="1:12" x14ac:dyDescent="0.25">
      <c r="A422" t="s">
        <v>865</v>
      </c>
      <c r="B422">
        <v>1</v>
      </c>
      <c r="C422" s="1">
        <v>44582</v>
      </c>
      <c r="D422" s="2">
        <v>0.19999999999999998</v>
      </c>
      <c r="E422" t="s">
        <v>866</v>
      </c>
      <c r="F422" t="s">
        <v>13</v>
      </c>
      <c r="G422" t="s">
        <v>13</v>
      </c>
      <c r="H422" t="s">
        <v>13</v>
      </c>
      <c r="I422" t="s">
        <v>14</v>
      </c>
      <c r="J422" t="s">
        <v>27</v>
      </c>
      <c r="K422" t="s">
        <v>21</v>
      </c>
      <c r="L422" t="s">
        <v>17</v>
      </c>
    </row>
    <row r="423" spans="1:12" x14ac:dyDescent="0.25">
      <c r="A423" t="s">
        <v>867</v>
      </c>
      <c r="B423">
        <v>5</v>
      </c>
      <c r="C423" s="1">
        <v>44582</v>
      </c>
      <c r="D423" s="2">
        <v>0.15277777777777776</v>
      </c>
      <c r="E423" t="s">
        <v>868</v>
      </c>
      <c r="F423" t="s">
        <v>36</v>
      </c>
      <c r="G423" t="s">
        <v>36</v>
      </c>
      <c r="H423" t="s">
        <v>36</v>
      </c>
      <c r="I423" t="s">
        <v>13</v>
      </c>
      <c r="J423" t="s">
        <v>27</v>
      </c>
      <c r="K423" t="s">
        <v>21</v>
      </c>
      <c r="L423" t="s">
        <v>17</v>
      </c>
    </row>
    <row r="424" spans="1:12" x14ac:dyDescent="0.25">
      <c r="A424" t="s">
        <v>869</v>
      </c>
      <c r="B424">
        <v>4</v>
      </c>
      <c r="C424" s="1">
        <v>44582</v>
      </c>
      <c r="D424" s="2">
        <v>7.9861111111111105E-2</v>
      </c>
      <c r="E424" t="s">
        <v>870</v>
      </c>
      <c r="F424" t="s">
        <v>36</v>
      </c>
      <c r="G424" t="s">
        <v>36</v>
      </c>
      <c r="H424" t="s">
        <v>36</v>
      </c>
      <c r="I424" t="s">
        <v>13</v>
      </c>
      <c r="J424" t="s">
        <v>27</v>
      </c>
      <c r="K424" t="s">
        <v>21</v>
      </c>
      <c r="L424" t="s">
        <v>17</v>
      </c>
    </row>
    <row r="425" spans="1:12" x14ac:dyDescent="0.25">
      <c r="A425" t="s">
        <v>871</v>
      </c>
      <c r="B425">
        <v>2</v>
      </c>
      <c r="C425" s="1">
        <v>44582</v>
      </c>
      <c r="D425" s="2">
        <v>0.81736111111111109</v>
      </c>
      <c r="E425" t="s">
        <v>872</v>
      </c>
      <c r="F425" t="s">
        <v>13</v>
      </c>
      <c r="G425" t="s">
        <v>13</v>
      </c>
      <c r="H425" t="s">
        <v>13</v>
      </c>
      <c r="I425" t="s">
        <v>14</v>
      </c>
      <c r="J425" t="s">
        <v>27</v>
      </c>
      <c r="K425" t="s">
        <v>21</v>
      </c>
      <c r="L425" t="s">
        <v>17</v>
      </c>
    </row>
    <row r="426" spans="1:12" x14ac:dyDescent="0.25">
      <c r="A426" t="s">
        <v>873</v>
      </c>
      <c r="B426">
        <v>1</v>
      </c>
      <c r="C426" s="1">
        <v>44582</v>
      </c>
      <c r="D426" s="2">
        <v>0.75416666666666676</v>
      </c>
      <c r="E426" t="s">
        <v>874</v>
      </c>
      <c r="F426" t="s">
        <v>13</v>
      </c>
      <c r="G426" t="s">
        <v>13</v>
      </c>
      <c r="H426" t="s">
        <v>13</v>
      </c>
      <c r="I426" t="s">
        <v>14</v>
      </c>
      <c r="J426" t="s">
        <v>27</v>
      </c>
      <c r="K426" t="s">
        <v>16</v>
      </c>
      <c r="L426" t="s">
        <v>17</v>
      </c>
    </row>
    <row r="427" spans="1:12" x14ac:dyDescent="0.25">
      <c r="A427" t="s">
        <v>875</v>
      </c>
      <c r="B427">
        <v>1</v>
      </c>
      <c r="C427" s="1">
        <v>44582</v>
      </c>
      <c r="D427" s="2">
        <v>0.62013888888888891</v>
      </c>
      <c r="E427" t="s">
        <v>876</v>
      </c>
      <c r="F427" t="s">
        <v>13</v>
      </c>
      <c r="G427" t="s">
        <v>13</v>
      </c>
      <c r="H427" t="s">
        <v>13</v>
      </c>
      <c r="I427" t="s">
        <v>14</v>
      </c>
      <c r="J427" t="s">
        <v>27</v>
      </c>
      <c r="K427" t="s">
        <v>21</v>
      </c>
      <c r="L427" t="s">
        <v>17</v>
      </c>
    </row>
    <row r="428" spans="1:12" x14ac:dyDescent="0.25">
      <c r="A428" t="s">
        <v>877</v>
      </c>
      <c r="B428">
        <v>2</v>
      </c>
      <c r="C428" s="1">
        <v>44582</v>
      </c>
      <c r="D428" s="2">
        <v>0.5708333333333333</v>
      </c>
      <c r="E428" t="s">
        <v>878</v>
      </c>
      <c r="F428" t="s">
        <v>13</v>
      </c>
      <c r="G428" t="s">
        <v>13</v>
      </c>
      <c r="H428" t="s">
        <v>13</v>
      </c>
      <c r="I428" t="s">
        <v>14</v>
      </c>
      <c r="J428" t="s">
        <v>27</v>
      </c>
      <c r="K428" t="s">
        <v>21</v>
      </c>
      <c r="L428" t="s">
        <v>17</v>
      </c>
    </row>
    <row r="429" spans="1:12" x14ac:dyDescent="0.25">
      <c r="A429" t="s">
        <v>879</v>
      </c>
      <c r="B429">
        <v>1</v>
      </c>
      <c r="C429" s="1">
        <v>44582</v>
      </c>
      <c r="D429" s="2">
        <v>0.50486111111111109</v>
      </c>
      <c r="E429" t="s">
        <v>880</v>
      </c>
      <c r="F429" t="s">
        <v>13</v>
      </c>
      <c r="G429" t="s">
        <v>13</v>
      </c>
      <c r="H429" t="s">
        <v>13</v>
      </c>
      <c r="I429" t="s">
        <v>14</v>
      </c>
      <c r="J429" t="s">
        <v>27</v>
      </c>
      <c r="K429" t="s">
        <v>21</v>
      </c>
      <c r="L429" t="s">
        <v>17</v>
      </c>
    </row>
    <row r="430" spans="1:12" x14ac:dyDescent="0.25">
      <c r="A430" t="s">
        <v>881</v>
      </c>
      <c r="B430">
        <v>5</v>
      </c>
      <c r="C430" s="1">
        <v>44582</v>
      </c>
      <c r="D430" s="2">
        <v>0.50416666666666665</v>
      </c>
      <c r="E430" t="s">
        <v>882</v>
      </c>
      <c r="F430" t="s">
        <v>36</v>
      </c>
      <c r="G430" t="s">
        <v>36</v>
      </c>
      <c r="H430" t="s">
        <v>36</v>
      </c>
      <c r="I430" t="s">
        <v>13</v>
      </c>
      <c r="J430" t="s">
        <v>27</v>
      </c>
      <c r="K430" t="s">
        <v>21</v>
      </c>
      <c r="L430" t="s">
        <v>17</v>
      </c>
    </row>
    <row r="431" spans="1:12" x14ac:dyDescent="0.25">
      <c r="A431" t="s">
        <v>883</v>
      </c>
      <c r="B431">
        <v>5</v>
      </c>
      <c r="C431" s="1">
        <v>44582</v>
      </c>
      <c r="D431" s="2">
        <v>0.50069444444444444</v>
      </c>
      <c r="E431" t="s">
        <v>884</v>
      </c>
      <c r="F431" t="s">
        <v>31</v>
      </c>
      <c r="G431" t="s">
        <v>31</v>
      </c>
      <c r="H431" t="s">
        <v>31</v>
      </c>
      <c r="I431" t="s">
        <v>32</v>
      </c>
      <c r="J431" t="s">
        <v>27</v>
      </c>
      <c r="K431" t="s">
        <v>21</v>
      </c>
      <c r="L431" t="s">
        <v>33</v>
      </c>
    </row>
    <row r="432" spans="1:12" x14ac:dyDescent="0.25">
      <c r="A432" t="s">
        <v>885</v>
      </c>
      <c r="B432">
        <v>3</v>
      </c>
      <c r="C432" s="1">
        <v>44582</v>
      </c>
      <c r="D432" s="2">
        <v>1.5277777777777777E-2</v>
      </c>
      <c r="E432" t="s">
        <v>886</v>
      </c>
      <c r="F432" t="s">
        <v>13</v>
      </c>
      <c r="G432" t="s">
        <v>13</v>
      </c>
      <c r="H432" t="s">
        <v>13</v>
      </c>
      <c r="I432" t="s">
        <v>14</v>
      </c>
      <c r="J432" t="s">
        <v>27</v>
      </c>
      <c r="K432" t="s">
        <v>16</v>
      </c>
      <c r="L432" t="s">
        <v>17</v>
      </c>
    </row>
    <row r="433" spans="1:12" x14ac:dyDescent="0.25">
      <c r="A433" t="s">
        <v>887</v>
      </c>
      <c r="B433">
        <v>2</v>
      </c>
      <c r="C433" s="1">
        <v>44582</v>
      </c>
      <c r="D433" s="2">
        <v>1.3194444444444444E-2</v>
      </c>
      <c r="E433" t="s">
        <v>888</v>
      </c>
      <c r="F433" t="s">
        <v>13</v>
      </c>
      <c r="G433" t="s">
        <v>13</v>
      </c>
      <c r="H433" t="s">
        <v>13</v>
      </c>
      <c r="I433" t="s">
        <v>14</v>
      </c>
      <c r="J433" t="s">
        <v>27</v>
      </c>
      <c r="K433" t="s">
        <v>28</v>
      </c>
      <c r="L433" t="s">
        <v>17</v>
      </c>
    </row>
    <row r="434" spans="1:12" x14ac:dyDescent="0.25">
      <c r="A434" t="s">
        <v>889</v>
      </c>
      <c r="B434">
        <v>1</v>
      </c>
      <c r="C434" s="1">
        <v>44581</v>
      </c>
      <c r="D434" s="2">
        <v>0.17430555555555557</v>
      </c>
      <c r="E434" t="s">
        <v>890</v>
      </c>
      <c r="F434" t="s">
        <v>13</v>
      </c>
      <c r="G434" t="s">
        <v>13</v>
      </c>
      <c r="H434" t="s">
        <v>13</v>
      </c>
      <c r="I434" t="s">
        <v>14</v>
      </c>
      <c r="J434" t="s">
        <v>27</v>
      </c>
      <c r="K434" t="s">
        <v>21</v>
      </c>
      <c r="L434" t="s">
        <v>17</v>
      </c>
    </row>
    <row r="435" spans="1:12" x14ac:dyDescent="0.25">
      <c r="A435" t="s">
        <v>891</v>
      </c>
      <c r="B435">
        <v>3</v>
      </c>
      <c r="C435" s="1">
        <v>44581</v>
      </c>
      <c r="D435" s="2">
        <v>8.8888888888888892E-2</v>
      </c>
      <c r="E435" t="s">
        <v>892</v>
      </c>
      <c r="F435" t="s">
        <v>31</v>
      </c>
      <c r="G435" t="s">
        <v>31</v>
      </c>
      <c r="H435" t="s">
        <v>31</v>
      </c>
      <c r="I435" t="s">
        <v>32</v>
      </c>
      <c r="J435" t="s">
        <v>27</v>
      </c>
      <c r="K435" t="s">
        <v>21</v>
      </c>
      <c r="L435" t="s">
        <v>33</v>
      </c>
    </row>
    <row r="436" spans="1:12" x14ac:dyDescent="0.25">
      <c r="A436" t="s">
        <v>893</v>
      </c>
      <c r="B436">
        <v>1</v>
      </c>
      <c r="C436" s="1">
        <v>44581</v>
      </c>
      <c r="D436" s="2">
        <v>0.74652777777777779</v>
      </c>
      <c r="E436" t="s">
        <v>894</v>
      </c>
      <c r="F436" t="s">
        <v>13</v>
      </c>
      <c r="G436" t="s">
        <v>13</v>
      </c>
      <c r="H436" t="s">
        <v>13</v>
      </c>
      <c r="I436" t="s">
        <v>14</v>
      </c>
      <c r="J436" t="s">
        <v>27</v>
      </c>
      <c r="K436" t="s">
        <v>28</v>
      </c>
      <c r="L436" t="s">
        <v>17</v>
      </c>
    </row>
    <row r="437" spans="1:12" x14ac:dyDescent="0.25">
      <c r="A437" t="s">
        <v>895</v>
      </c>
      <c r="B437">
        <v>1</v>
      </c>
      <c r="C437" s="1">
        <v>44581</v>
      </c>
      <c r="D437" s="2">
        <v>0.66041666666666665</v>
      </c>
      <c r="E437" t="s">
        <v>896</v>
      </c>
      <c r="F437" t="s">
        <v>13</v>
      </c>
      <c r="G437" t="s">
        <v>13</v>
      </c>
      <c r="H437" t="s">
        <v>13</v>
      </c>
      <c r="I437" t="s">
        <v>14</v>
      </c>
      <c r="J437" t="s">
        <v>27</v>
      </c>
      <c r="K437" t="s">
        <v>21</v>
      </c>
      <c r="L437" t="s">
        <v>17</v>
      </c>
    </row>
    <row r="438" spans="1:12" x14ac:dyDescent="0.25">
      <c r="A438" t="s">
        <v>897</v>
      </c>
      <c r="B438">
        <v>1</v>
      </c>
      <c r="C438" s="1">
        <v>44581</v>
      </c>
      <c r="D438" s="2">
        <v>0.58402777777777781</v>
      </c>
      <c r="E438" t="s">
        <v>898</v>
      </c>
      <c r="F438" t="s">
        <v>13</v>
      </c>
      <c r="G438" t="s">
        <v>13</v>
      </c>
      <c r="H438" t="s">
        <v>13</v>
      </c>
      <c r="I438" t="s">
        <v>14</v>
      </c>
      <c r="J438" t="s">
        <v>27</v>
      </c>
      <c r="K438" t="s">
        <v>21</v>
      </c>
      <c r="L438" t="s">
        <v>17</v>
      </c>
    </row>
    <row r="439" spans="1:12" x14ac:dyDescent="0.25">
      <c r="A439" t="s">
        <v>899</v>
      </c>
      <c r="B439">
        <v>1</v>
      </c>
      <c r="C439" s="1">
        <v>44581</v>
      </c>
      <c r="D439" s="2">
        <v>0.56527777777777777</v>
      </c>
      <c r="E439" t="s">
        <v>900</v>
      </c>
      <c r="F439" t="s">
        <v>13</v>
      </c>
      <c r="G439" t="s">
        <v>13</v>
      </c>
      <c r="H439" t="s">
        <v>13</v>
      </c>
      <c r="I439" t="s">
        <v>14</v>
      </c>
      <c r="J439" t="s">
        <v>27</v>
      </c>
      <c r="K439" t="s">
        <v>21</v>
      </c>
      <c r="L439" t="s">
        <v>17</v>
      </c>
    </row>
    <row r="440" spans="1:12" x14ac:dyDescent="0.25">
      <c r="A440" t="s">
        <v>901</v>
      </c>
      <c r="B440">
        <v>1</v>
      </c>
      <c r="C440" s="1">
        <v>44581</v>
      </c>
      <c r="D440" s="2">
        <v>0.55694444444444446</v>
      </c>
      <c r="E440" t="s">
        <v>902</v>
      </c>
      <c r="F440" t="s">
        <v>13</v>
      </c>
      <c r="G440" t="s">
        <v>13</v>
      </c>
      <c r="H440" t="s">
        <v>13</v>
      </c>
      <c r="I440" t="s">
        <v>14</v>
      </c>
      <c r="J440" t="s">
        <v>27</v>
      </c>
      <c r="K440" t="s">
        <v>16</v>
      </c>
      <c r="L440" t="s">
        <v>17</v>
      </c>
    </row>
    <row r="441" spans="1:12" x14ac:dyDescent="0.25">
      <c r="A441" t="s">
        <v>903</v>
      </c>
      <c r="B441">
        <v>1</v>
      </c>
      <c r="C441" s="1">
        <v>44581</v>
      </c>
      <c r="D441" s="2">
        <v>0.55625000000000002</v>
      </c>
      <c r="E441" t="s">
        <v>904</v>
      </c>
      <c r="F441" t="s">
        <v>13</v>
      </c>
      <c r="G441" t="s">
        <v>13</v>
      </c>
      <c r="H441" t="s">
        <v>13</v>
      </c>
      <c r="I441" t="s">
        <v>14</v>
      </c>
      <c r="J441" t="s">
        <v>27</v>
      </c>
      <c r="K441" t="s">
        <v>21</v>
      </c>
      <c r="L441" t="s">
        <v>17</v>
      </c>
    </row>
    <row r="442" spans="1:12" x14ac:dyDescent="0.25">
      <c r="A442" t="s">
        <v>905</v>
      </c>
      <c r="B442">
        <v>2</v>
      </c>
      <c r="C442" s="1">
        <v>44580</v>
      </c>
      <c r="D442" s="2">
        <v>0.99513888888888891</v>
      </c>
      <c r="E442" t="s">
        <v>906</v>
      </c>
      <c r="F442" t="s">
        <v>13</v>
      </c>
      <c r="G442" t="s">
        <v>13</v>
      </c>
      <c r="H442" t="s">
        <v>13</v>
      </c>
      <c r="I442" t="s">
        <v>14</v>
      </c>
      <c r="J442" t="s">
        <v>27</v>
      </c>
      <c r="K442" t="s">
        <v>16</v>
      </c>
      <c r="L442" t="s">
        <v>17</v>
      </c>
    </row>
    <row r="443" spans="1:12" x14ac:dyDescent="0.25">
      <c r="A443" t="s">
        <v>907</v>
      </c>
      <c r="B443">
        <v>3</v>
      </c>
      <c r="C443" s="1">
        <v>44580</v>
      </c>
      <c r="D443" s="2">
        <v>0.97777777777777775</v>
      </c>
      <c r="E443" t="s">
        <v>908</v>
      </c>
      <c r="F443" t="s">
        <v>31</v>
      </c>
      <c r="G443" t="s">
        <v>31</v>
      </c>
      <c r="H443" t="s">
        <v>31</v>
      </c>
      <c r="I443" t="s">
        <v>32</v>
      </c>
      <c r="J443" t="s">
        <v>27</v>
      </c>
      <c r="K443" t="s">
        <v>16</v>
      </c>
      <c r="L443" t="s">
        <v>33</v>
      </c>
    </row>
    <row r="444" spans="1:12" x14ac:dyDescent="0.25">
      <c r="A444" t="s">
        <v>909</v>
      </c>
      <c r="B444">
        <v>5</v>
      </c>
      <c r="C444" s="1">
        <v>44580</v>
      </c>
      <c r="D444" s="2">
        <v>0.96250000000000002</v>
      </c>
      <c r="E444" t="s">
        <v>910</v>
      </c>
      <c r="F444" t="s">
        <v>36</v>
      </c>
      <c r="G444" t="s">
        <v>36</v>
      </c>
      <c r="H444" t="s">
        <v>36</v>
      </c>
      <c r="I444" t="s">
        <v>13</v>
      </c>
      <c r="J444" t="s">
        <v>27</v>
      </c>
      <c r="K444" t="s">
        <v>28</v>
      </c>
      <c r="L444" t="s">
        <v>17</v>
      </c>
    </row>
    <row r="445" spans="1:12" x14ac:dyDescent="0.25">
      <c r="A445" t="s">
        <v>911</v>
      </c>
      <c r="B445">
        <v>3</v>
      </c>
      <c r="C445" s="1">
        <v>44580</v>
      </c>
      <c r="D445" s="2">
        <v>0.94166666666666676</v>
      </c>
      <c r="E445" t="s">
        <v>912</v>
      </c>
      <c r="F445" t="s">
        <v>13</v>
      </c>
      <c r="G445" t="s">
        <v>13</v>
      </c>
      <c r="H445" t="s">
        <v>13</v>
      </c>
      <c r="I445" t="s">
        <v>14</v>
      </c>
      <c r="J445" t="s">
        <v>27</v>
      </c>
      <c r="K445" t="s">
        <v>21</v>
      </c>
      <c r="L445" t="s">
        <v>17</v>
      </c>
    </row>
    <row r="446" spans="1:12" x14ac:dyDescent="0.25">
      <c r="A446" t="s">
        <v>913</v>
      </c>
      <c r="B446">
        <v>5</v>
      </c>
      <c r="C446" s="1">
        <v>44580</v>
      </c>
      <c r="D446" s="2">
        <v>0.84305555555555556</v>
      </c>
      <c r="E446" t="s">
        <v>914</v>
      </c>
      <c r="F446" t="s">
        <v>36</v>
      </c>
      <c r="G446" t="s">
        <v>36</v>
      </c>
      <c r="H446" t="s">
        <v>36</v>
      </c>
      <c r="I446" t="s">
        <v>13</v>
      </c>
      <c r="J446" t="s">
        <v>27</v>
      </c>
      <c r="K446" t="s">
        <v>28</v>
      </c>
      <c r="L446" t="s">
        <v>17</v>
      </c>
    </row>
    <row r="447" spans="1:12" x14ac:dyDescent="0.25">
      <c r="A447" t="s">
        <v>915</v>
      </c>
      <c r="B447">
        <v>1</v>
      </c>
      <c r="C447" s="1">
        <v>44580</v>
      </c>
      <c r="D447" s="2">
        <v>0.74583333333333324</v>
      </c>
      <c r="E447" t="s">
        <v>916</v>
      </c>
      <c r="F447" t="s">
        <v>13</v>
      </c>
      <c r="G447" t="s">
        <v>13</v>
      </c>
      <c r="H447" t="s">
        <v>13</v>
      </c>
      <c r="I447" t="s">
        <v>14</v>
      </c>
      <c r="J447" t="s">
        <v>27</v>
      </c>
      <c r="K447" t="s">
        <v>21</v>
      </c>
      <c r="L447" t="s">
        <v>17</v>
      </c>
    </row>
    <row r="448" spans="1:12" x14ac:dyDescent="0.25">
      <c r="A448" t="s">
        <v>917</v>
      </c>
      <c r="B448">
        <v>1</v>
      </c>
      <c r="C448" s="1">
        <v>44580</v>
      </c>
      <c r="D448" s="2">
        <v>0.73055555555555562</v>
      </c>
      <c r="E448" t="s">
        <v>918</v>
      </c>
      <c r="F448" t="s">
        <v>13</v>
      </c>
      <c r="G448" t="s">
        <v>13</v>
      </c>
      <c r="H448" t="s">
        <v>13</v>
      </c>
      <c r="I448" t="s">
        <v>14</v>
      </c>
      <c r="J448" t="s">
        <v>27</v>
      </c>
      <c r="K448" t="s">
        <v>21</v>
      </c>
      <c r="L448" t="s">
        <v>17</v>
      </c>
    </row>
    <row r="449" spans="1:12" x14ac:dyDescent="0.25">
      <c r="A449" t="s">
        <v>919</v>
      </c>
      <c r="B449">
        <v>4</v>
      </c>
      <c r="C449" s="1">
        <v>44580</v>
      </c>
      <c r="D449" s="2">
        <v>0.71388888888888891</v>
      </c>
      <c r="E449" t="s">
        <v>920</v>
      </c>
      <c r="F449" t="s">
        <v>31</v>
      </c>
      <c r="G449" t="s">
        <v>31</v>
      </c>
      <c r="H449" t="s">
        <v>31</v>
      </c>
      <c r="I449" t="s">
        <v>32</v>
      </c>
      <c r="J449" t="s">
        <v>27</v>
      </c>
      <c r="K449" t="s">
        <v>21</v>
      </c>
      <c r="L449" t="s">
        <v>33</v>
      </c>
    </row>
    <row r="450" spans="1:12" x14ac:dyDescent="0.25">
      <c r="A450" t="s">
        <v>921</v>
      </c>
      <c r="B450">
        <v>2</v>
      </c>
      <c r="C450" s="1">
        <v>44580</v>
      </c>
      <c r="D450" s="2">
        <v>0.62708333333333333</v>
      </c>
      <c r="E450" t="s">
        <v>922</v>
      </c>
      <c r="F450" t="s">
        <v>31</v>
      </c>
      <c r="G450" t="s">
        <v>31</v>
      </c>
      <c r="H450" t="s">
        <v>31</v>
      </c>
      <c r="I450" t="s">
        <v>32</v>
      </c>
      <c r="J450" t="s">
        <v>27</v>
      </c>
      <c r="K450" t="s">
        <v>21</v>
      </c>
      <c r="L450" t="s">
        <v>33</v>
      </c>
    </row>
    <row r="451" spans="1:12" x14ac:dyDescent="0.25">
      <c r="A451" t="s">
        <v>923</v>
      </c>
      <c r="B451">
        <v>1</v>
      </c>
      <c r="C451" s="1">
        <v>44580</v>
      </c>
      <c r="D451" s="2">
        <v>0.42777777777777781</v>
      </c>
      <c r="E451" t="s">
        <v>924</v>
      </c>
      <c r="F451" t="s">
        <v>13</v>
      </c>
      <c r="G451" t="s">
        <v>13</v>
      </c>
      <c r="H451" t="s">
        <v>13</v>
      </c>
      <c r="I451" t="s">
        <v>14</v>
      </c>
      <c r="J451" t="s">
        <v>27</v>
      </c>
      <c r="K451" t="s">
        <v>21</v>
      </c>
      <c r="L451" t="s">
        <v>17</v>
      </c>
    </row>
    <row r="452" spans="1:12" x14ac:dyDescent="0.25">
      <c r="A452" t="s">
        <v>925</v>
      </c>
      <c r="B452">
        <v>5</v>
      </c>
      <c r="C452" s="1">
        <v>44579</v>
      </c>
      <c r="D452" s="2">
        <v>6.1111111111111116E-2</v>
      </c>
      <c r="E452" t="s">
        <v>926</v>
      </c>
      <c r="F452" t="s">
        <v>36</v>
      </c>
      <c r="G452" t="s">
        <v>36</v>
      </c>
      <c r="H452" t="s">
        <v>36</v>
      </c>
      <c r="I452" t="s">
        <v>13</v>
      </c>
      <c r="J452" t="s">
        <v>27</v>
      </c>
      <c r="K452" t="s">
        <v>21</v>
      </c>
      <c r="L452" t="s">
        <v>17</v>
      </c>
    </row>
    <row r="453" spans="1:12" x14ac:dyDescent="0.25">
      <c r="A453" t="s">
        <v>927</v>
      </c>
      <c r="B453">
        <v>1</v>
      </c>
      <c r="C453" s="1">
        <v>44579</v>
      </c>
      <c r="D453" s="2">
        <v>0.58611111111111114</v>
      </c>
      <c r="E453" t="s">
        <v>928</v>
      </c>
      <c r="F453" t="s">
        <v>13</v>
      </c>
      <c r="G453" t="s">
        <v>13</v>
      </c>
      <c r="H453" t="s">
        <v>13</v>
      </c>
      <c r="I453" t="s">
        <v>14</v>
      </c>
      <c r="J453" t="s">
        <v>27</v>
      </c>
      <c r="K453" t="s">
        <v>21</v>
      </c>
      <c r="L453" t="s">
        <v>17</v>
      </c>
    </row>
    <row r="454" spans="1:12" x14ac:dyDescent="0.25">
      <c r="A454" t="s">
        <v>929</v>
      </c>
      <c r="B454">
        <v>5</v>
      </c>
      <c r="C454" s="1">
        <v>44579</v>
      </c>
      <c r="D454" s="2">
        <v>0.56736111111111109</v>
      </c>
      <c r="E454" t="s">
        <v>930</v>
      </c>
      <c r="F454" t="s">
        <v>36</v>
      </c>
      <c r="G454" t="s">
        <v>36</v>
      </c>
      <c r="H454" t="s">
        <v>36</v>
      </c>
      <c r="I454" t="s">
        <v>13</v>
      </c>
      <c r="J454" t="s">
        <v>27</v>
      </c>
      <c r="K454" t="s">
        <v>21</v>
      </c>
      <c r="L454" t="s">
        <v>17</v>
      </c>
    </row>
    <row r="455" spans="1:12" x14ac:dyDescent="0.25">
      <c r="A455" t="s">
        <v>931</v>
      </c>
      <c r="B455">
        <v>3</v>
      </c>
      <c r="C455" s="1">
        <v>44579</v>
      </c>
      <c r="D455" s="2">
        <v>0.52430555555555558</v>
      </c>
      <c r="E455" t="s">
        <v>932</v>
      </c>
      <c r="F455" t="s">
        <v>31</v>
      </c>
      <c r="G455" t="s">
        <v>31</v>
      </c>
      <c r="H455" t="s">
        <v>31</v>
      </c>
      <c r="I455" t="s">
        <v>32</v>
      </c>
      <c r="J455" t="s">
        <v>27</v>
      </c>
      <c r="K455" t="s">
        <v>16</v>
      </c>
      <c r="L455" t="s">
        <v>33</v>
      </c>
    </row>
    <row r="456" spans="1:12" x14ac:dyDescent="0.25">
      <c r="A456" t="s">
        <v>933</v>
      </c>
      <c r="B456">
        <v>5</v>
      </c>
      <c r="C456" s="1">
        <v>44579</v>
      </c>
      <c r="D456" s="2">
        <v>0.4916666666666667</v>
      </c>
      <c r="E456" t="s">
        <v>934</v>
      </c>
      <c r="F456" t="s">
        <v>36</v>
      </c>
      <c r="G456" t="s">
        <v>36</v>
      </c>
      <c r="H456" t="s">
        <v>36</v>
      </c>
      <c r="I456" t="s">
        <v>13</v>
      </c>
      <c r="J456" t="s">
        <v>27</v>
      </c>
      <c r="K456" t="s">
        <v>21</v>
      </c>
      <c r="L456" t="s">
        <v>17</v>
      </c>
    </row>
    <row r="457" spans="1:12" x14ac:dyDescent="0.25">
      <c r="A457" t="s">
        <v>935</v>
      </c>
      <c r="B457">
        <v>1</v>
      </c>
      <c r="C457" s="1">
        <v>44578</v>
      </c>
      <c r="D457" s="2">
        <v>0.31527777777777777</v>
      </c>
      <c r="E457" t="s">
        <v>936</v>
      </c>
      <c r="F457" t="s">
        <v>13</v>
      </c>
      <c r="G457" t="s">
        <v>13</v>
      </c>
      <c r="H457" t="s">
        <v>13</v>
      </c>
      <c r="I457" t="s">
        <v>14</v>
      </c>
      <c r="J457" t="s">
        <v>27</v>
      </c>
      <c r="K457" t="s">
        <v>21</v>
      </c>
      <c r="L457" t="s">
        <v>17</v>
      </c>
    </row>
    <row r="458" spans="1:12" x14ac:dyDescent="0.25">
      <c r="A458" t="s">
        <v>937</v>
      </c>
      <c r="B458">
        <v>2</v>
      </c>
      <c r="C458" s="1">
        <v>44578</v>
      </c>
      <c r="D458" s="2">
        <v>0.12638888888888888</v>
      </c>
      <c r="E458" t="s">
        <v>938</v>
      </c>
      <c r="F458" t="s">
        <v>31</v>
      </c>
      <c r="G458" t="s">
        <v>31</v>
      </c>
      <c r="H458" t="s">
        <v>31</v>
      </c>
      <c r="I458" t="s">
        <v>32</v>
      </c>
      <c r="J458" t="s">
        <v>27</v>
      </c>
      <c r="K458" t="s">
        <v>21</v>
      </c>
      <c r="L458" t="s">
        <v>33</v>
      </c>
    </row>
    <row r="459" spans="1:12" x14ac:dyDescent="0.25">
      <c r="A459" t="s">
        <v>939</v>
      </c>
      <c r="B459">
        <v>1</v>
      </c>
      <c r="C459" s="1">
        <v>44578</v>
      </c>
      <c r="D459" s="2">
        <v>0.6118055555555556</v>
      </c>
      <c r="E459" t="s">
        <v>940</v>
      </c>
      <c r="F459" t="s">
        <v>13</v>
      </c>
      <c r="G459" t="s">
        <v>13</v>
      </c>
      <c r="H459" t="s">
        <v>13</v>
      </c>
      <c r="I459" t="s">
        <v>14</v>
      </c>
      <c r="J459" t="s">
        <v>27</v>
      </c>
      <c r="K459" t="s">
        <v>21</v>
      </c>
      <c r="L459" t="s">
        <v>17</v>
      </c>
    </row>
    <row r="460" spans="1:12" x14ac:dyDescent="0.25">
      <c r="A460" t="s">
        <v>941</v>
      </c>
      <c r="B460">
        <v>1</v>
      </c>
      <c r="C460" s="1">
        <v>44578</v>
      </c>
      <c r="D460" s="2">
        <v>0.60833333333333328</v>
      </c>
      <c r="E460" t="s">
        <v>942</v>
      </c>
      <c r="F460" t="s">
        <v>13</v>
      </c>
      <c r="G460" t="s">
        <v>13</v>
      </c>
      <c r="H460" t="s">
        <v>13</v>
      </c>
      <c r="I460" t="s">
        <v>14</v>
      </c>
      <c r="J460" t="s">
        <v>27</v>
      </c>
      <c r="K460" t="s">
        <v>21</v>
      </c>
      <c r="L460" t="s">
        <v>17</v>
      </c>
    </row>
    <row r="461" spans="1:12" x14ac:dyDescent="0.25">
      <c r="A461" t="s">
        <v>943</v>
      </c>
      <c r="B461">
        <v>1</v>
      </c>
      <c r="C461" s="1">
        <v>44577</v>
      </c>
      <c r="D461" s="2">
        <v>0.31180555555555556</v>
      </c>
      <c r="E461" t="s">
        <v>944</v>
      </c>
      <c r="F461" t="s">
        <v>13</v>
      </c>
      <c r="G461" t="s">
        <v>13</v>
      </c>
      <c r="H461" t="s">
        <v>13</v>
      </c>
      <c r="I461" t="s">
        <v>14</v>
      </c>
      <c r="J461" t="s">
        <v>27</v>
      </c>
      <c r="K461" t="s">
        <v>28</v>
      </c>
      <c r="L461" t="s">
        <v>17</v>
      </c>
    </row>
    <row r="462" spans="1:12" x14ac:dyDescent="0.25">
      <c r="A462" t="s">
        <v>945</v>
      </c>
      <c r="B462">
        <v>1</v>
      </c>
      <c r="C462" s="1">
        <v>44577</v>
      </c>
      <c r="D462" s="2">
        <v>0.23611111111111113</v>
      </c>
      <c r="E462" t="s">
        <v>946</v>
      </c>
      <c r="F462" t="s">
        <v>13</v>
      </c>
      <c r="G462" t="s">
        <v>13</v>
      </c>
      <c r="H462" t="s">
        <v>13</v>
      </c>
      <c r="I462" t="s">
        <v>14</v>
      </c>
      <c r="J462" t="s">
        <v>27</v>
      </c>
      <c r="K462" t="s">
        <v>21</v>
      </c>
      <c r="L462" t="s">
        <v>17</v>
      </c>
    </row>
    <row r="463" spans="1:12" x14ac:dyDescent="0.25">
      <c r="A463" t="s">
        <v>947</v>
      </c>
      <c r="B463">
        <v>1</v>
      </c>
      <c r="C463" s="1">
        <v>44577</v>
      </c>
      <c r="D463" s="2">
        <v>0.13958333333333334</v>
      </c>
      <c r="E463" t="s">
        <v>948</v>
      </c>
      <c r="F463" t="s">
        <v>13</v>
      </c>
      <c r="G463" t="s">
        <v>13</v>
      </c>
      <c r="H463" t="s">
        <v>13</v>
      </c>
      <c r="I463" t="s">
        <v>14</v>
      </c>
      <c r="J463" t="s">
        <v>27</v>
      </c>
      <c r="K463" t="s">
        <v>21</v>
      </c>
      <c r="L463" t="s">
        <v>17</v>
      </c>
    </row>
    <row r="464" spans="1:12" x14ac:dyDescent="0.25">
      <c r="A464" t="s">
        <v>949</v>
      </c>
      <c r="B464">
        <v>1</v>
      </c>
      <c r="C464" s="1">
        <v>44577</v>
      </c>
      <c r="D464" s="2">
        <v>9.1666666666666674E-2</v>
      </c>
      <c r="E464" t="s">
        <v>950</v>
      </c>
      <c r="F464" t="s">
        <v>13</v>
      </c>
      <c r="G464" t="s">
        <v>13</v>
      </c>
      <c r="H464" t="s">
        <v>13</v>
      </c>
      <c r="I464" t="s">
        <v>14</v>
      </c>
      <c r="J464" t="s">
        <v>27</v>
      </c>
      <c r="K464" t="s">
        <v>21</v>
      </c>
      <c r="L464" t="s">
        <v>17</v>
      </c>
    </row>
    <row r="465" spans="1:12" x14ac:dyDescent="0.25">
      <c r="A465" t="s">
        <v>951</v>
      </c>
      <c r="B465">
        <v>1</v>
      </c>
      <c r="C465" s="1">
        <v>44577</v>
      </c>
      <c r="D465" s="2">
        <v>0.99722222222222223</v>
      </c>
      <c r="E465" t="s">
        <v>952</v>
      </c>
      <c r="F465" t="s">
        <v>13</v>
      </c>
      <c r="G465" t="s">
        <v>13</v>
      </c>
      <c r="H465" t="s">
        <v>13</v>
      </c>
      <c r="I465" t="s">
        <v>14</v>
      </c>
      <c r="J465" t="s">
        <v>27</v>
      </c>
      <c r="K465" t="s">
        <v>21</v>
      </c>
      <c r="L465" t="s">
        <v>17</v>
      </c>
    </row>
    <row r="466" spans="1:12" x14ac:dyDescent="0.25">
      <c r="A466" t="s">
        <v>953</v>
      </c>
      <c r="B466">
        <v>5</v>
      </c>
      <c r="C466" s="1">
        <v>44577</v>
      </c>
      <c r="D466" s="2">
        <v>0.96250000000000002</v>
      </c>
      <c r="E466" t="s">
        <v>954</v>
      </c>
      <c r="F466" t="s">
        <v>36</v>
      </c>
      <c r="G466" t="s">
        <v>36</v>
      </c>
      <c r="H466" t="s">
        <v>36</v>
      </c>
      <c r="I466" t="s">
        <v>13</v>
      </c>
      <c r="J466" t="s">
        <v>27</v>
      </c>
      <c r="K466" t="s">
        <v>16</v>
      </c>
      <c r="L466" t="s">
        <v>17</v>
      </c>
    </row>
    <row r="467" spans="1:12" x14ac:dyDescent="0.25">
      <c r="A467" t="s">
        <v>955</v>
      </c>
      <c r="B467">
        <v>1</v>
      </c>
      <c r="C467" s="1">
        <v>44577</v>
      </c>
      <c r="D467" s="2">
        <v>7.4305555555555555E-2</v>
      </c>
      <c r="E467" t="s">
        <v>956</v>
      </c>
      <c r="F467" t="s">
        <v>13</v>
      </c>
      <c r="G467" t="s">
        <v>13</v>
      </c>
      <c r="H467" t="s">
        <v>13</v>
      </c>
      <c r="I467" t="s">
        <v>14</v>
      </c>
      <c r="J467" t="s">
        <v>27</v>
      </c>
      <c r="K467" t="s">
        <v>21</v>
      </c>
      <c r="L467" t="s">
        <v>17</v>
      </c>
    </row>
    <row r="468" spans="1:12" x14ac:dyDescent="0.25">
      <c r="A468" t="s">
        <v>957</v>
      </c>
      <c r="B468">
        <v>1</v>
      </c>
      <c r="C468" s="1">
        <v>44577</v>
      </c>
      <c r="D468" s="2">
        <v>0.73888888888888893</v>
      </c>
      <c r="E468" t="s">
        <v>958</v>
      </c>
      <c r="F468" t="s">
        <v>13</v>
      </c>
      <c r="G468" t="s">
        <v>13</v>
      </c>
      <c r="H468" t="s">
        <v>13</v>
      </c>
      <c r="I468" t="s">
        <v>14</v>
      </c>
      <c r="J468" t="s">
        <v>27</v>
      </c>
      <c r="K468" t="s">
        <v>21</v>
      </c>
      <c r="L468" t="s">
        <v>17</v>
      </c>
    </row>
    <row r="469" spans="1:12" x14ac:dyDescent="0.25">
      <c r="A469" t="s">
        <v>959</v>
      </c>
      <c r="B469">
        <v>2</v>
      </c>
      <c r="C469" s="1">
        <v>44577</v>
      </c>
      <c r="D469" s="2">
        <v>0.72291666666666676</v>
      </c>
      <c r="E469" t="s">
        <v>960</v>
      </c>
      <c r="F469" t="s">
        <v>13</v>
      </c>
      <c r="G469" t="s">
        <v>13</v>
      </c>
      <c r="H469" t="s">
        <v>13</v>
      </c>
      <c r="I469" t="s">
        <v>14</v>
      </c>
      <c r="J469" t="s">
        <v>27</v>
      </c>
      <c r="K469" t="s">
        <v>21</v>
      </c>
      <c r="L469" t="s">
        <v>17</v>
      </c>
    </row>
    <row r="470" spans="1:12" x14ac:dyDescent="0.25">
      <c r="A470" t="s">
        <v>961</v>
      </c>
      <c r="B470">
        <v>2</v>
      </c>
      <c r="C470" s="1">
        <v>44577</v>
      </c>
      <c r="D470" s="2">
        <v>0.61805555555555558</v>
      </c>
      <c r="E470" t="s">
        <v>962</v>
      </c>
      <c r="F470" t="s">
        <v>13</v>
      </c>
      <c r="G470" t="s">
        <v>13</v>
      </c>
      <c r="H470" t="s">
        <v>13</v>
      </c>
      <c r="I470" t="s">
        <v>14</v>
      </c>
      <c r="J470" t="s">
        <v>27</v>
      </c>
      <c r="K470" t="s">
        <v>21</v>
      </c>
      <c r="L470" t="s">
        <v>17</v>
      </c>
    </row>
    <row r="471" spans="1:12" x14ac:dyDescent="0.25">
      <c r="A471" t="s">
        <v>963</v>
      </c>
      <c r="B471">
        <v>2</v>
      </c>
      <c r="C471" s="1">
        <v>44577</v>
      </c>
      <c r="D471" s="2">
        <v>0.61527777777777781</v>
      </c>
      <c r="E471" t="s">
        <v>964</v>
      </c>
      <c r="F471" t="s">
        <v>31</v>
      </c>
      <c r="G471" t="s">
        <v>31</v>
      </c>
      <c r="H471" t="s">
        <v>31</v>
      </c>
      <c r="I471" t="s">
        <v>32</v>
      </c>
      <c r="J471" t="s">
        <v>27</v>
      </c>
      <c r="K471" t="s">
        <v>21</v>
      </c>
      <c r="L471" t="s">
        <v>33</v>
      </c>
    </row>
    <row r="472" spans="1:12" x14ac:dyDescent="0.25">
      <c r="A472" t="s">
        <v>965</v>
      </c>
      <c r="B472">
        <v>1</v>
      </c>
      <c r="C472" s="1">
        <v>44577</v>
      </c>
      <c r="D472" s="2">
        <v>0.57777777777777783</v>
      </c>
      <c r="E472" t="s">
        <v>966</v>
      </c>
      <c r="F472" t="s">
        <v>13</v>
      </c>
      <c r="G472" t="s">
        <v>13</v>
      </c>
      <c r="H472" t="s">
        <v>13</v>
      </c>
      <c r="I472" t="s">
        <v>14</v>
      </c>
      <c r="J472" t="s">
        <v>27</v>
      </c>
      <c r="K472" t="s">
        <v>21</v>
      </c>
      <c r="L472" t="s">
        <v>17</v>
      </c>
    </row>
    <row r="473" spans="1:12" x14ac:dyDescent="0.25">
      <c r="A473" t="s">
        <v>967</v>
      </c>
      <c r="B473">
        <v>2</v>
      </c>
      <c r="C473" s="1">
        <v>44577</v>
      </c>
      <c r="D473" s="2">
        <v>0.56458333333333333</v>
      </c>
      <c r="E473" t="s">
        <v>968</v>
      </c>
      <c r="F473" t="s">
        <v>13</v>
      </c>
      <c r="G473" t="s">
        <v>13</v>
      </c>
      <c r="H473" t="s">
        <v>13</v>
      </c>
      <c r="I473" t="s">
        <v>14</v>
      </c>
      <c r="J473" t="s">
        <v>27</v>
      </c>
      <c r="K473" t="s">
        <v>21</v>
      </c>
      <c r="L473" t="s">
        <v>17</v>
      </c>
    </row>
    <row r="474" spans="1:12" x14ac:dyDescent="0.25">
      <c r="A474" t="s">
        <v>969</v>
      </c>
      <c r="B474">
        <v>1</v>
      </c>
      <c r="C474" s="1">
        <v>44577</v>
      </c>
      <c r="D474" s="2">
        <v>0.41736111111111113</v>
      </c>
      <c r="E474" t="s">
        <v>970</v>
      </c>
      <c r="F474" t="s">
        <v>13</v>
      </c>
      <c r="G474" t="s">
        <v>13</v>
      </c>
      <c r="H474" t="s">
        <v>13</v>
      </c>
      <c r="I474" t="s">
        <v>14</v>
      </c>
      <c r="J474" t="s">
        <v>27</v>
      </c>
      <c r="K474" t="s">
        <v>28</v>
      </c>
      <c r="L474" t="s">
        <v>17</v>
      </c>
    </row>
    <row r="475" spans="1:12" x14ac:dyDescent="0.25">
      <c r="A475" t="s">
        <v>971</v>
      </c>
      <c r="B475">
        <v>1</v>
      </c>
      <c r="C475" s="1">
        <v>44577</v>
      </c>
      <c r="D475" s="2">
        <v>6.2499999999999995E-3</v>
      </c>
      <c r="E475" t="s">
        <v>972</v>
      </c>
      <c r="F475" t="s">
        <v>13</v>
      </c>
      <c r="G475" t="s">
        <v>13</v>
      </c>
      <c r="H475" t="s">
        <v>13</v>
      </c>
      <c r="I475" t="s">
        <v>14</v>
      </c>
      <c r="J475" t="s">
        <v>27</v>
      </c>
      <c r="K475" t="s">
        <v>16</v>
      </c>
      <c r="L475" t="s">
        <v>17</v>
      </c>
    </row>
    <row r="476" spans="1:12" x14ac:dyDescent="0.25">
      <c r="A476" t="s">
        <v>973</v>
      </c>
      <c r="B476">
        <v>1</v>
      </c>
      <c r="C476" s="1">
        <v>44576</v>
      </c>
      <c r="D476" s="2">
        <v>0.38750000000000001</v>
      </c>
      <c r="E476" t="s">
        <v>974</v>
      </c>
      <c r="F476" t="s">
        <v>13</v>
      </c>
      <c r="G476" t="s">
        <v>13</v>
      </c>
      <c r="H476" t="s">
        <v>13</v>
      </c>
      <c r="I476" t="s">
        <v>14</v>
      </c>
      <c r="J476" t="s">
        <v>27</v>
      </c>
      <c r="K476" t="s">
        <v>21</v>
      </c>
      <c r="L476" t="s">
        <v>17</v>
      </c>
    </row>
    <row r="477" spans="1:12" x14ac:dyDescent="0.25">
      <c r="A477" t="s">
        <v>975</v>
      </c>
      <c r="B477">
        <v>2</v>
      </c>
      <c r="C477" s="1">
        <v>44576</v>
      </c>
      <c r="D477" s="2">
        <v>0.23333333333333331</v>
      </c>
      <c r="E477" t="s">
        <v>976</v>
      </c>
      <c r="F477" t="s">
        <v>13</v>
      </c>
      <c r="G477" t="s">
        <v>13</v>
      </c>
      <c r="H477" t="s">
        <v>13</v>
      </c>
      <c r="I477" t="s">
        <v>14</v>
      </c>
      <c r="J477" t="s">
        <v>27</v>
      </c>
      <c r="K477" t="s">
        <v>21</v>
      </c>
      <c r="L477" t="s">
        <v>17</v>
      </c>
    </row>
    <row r="478" spans="1:12" x14ac:dyDescent="0.25">
      <c r="A478" t="s">
        <v>977</v>
      </c>
      <c r="B478">
        <v>5</v>
      </c>
      <c r="C478" s="1">
        <v>44576</v>
      </c>
      <c r="D478" s="2">
        <v>0.15</v>
      </c>
      <c r="E478" t="s">
        <v>978</v>
      </c>
      <c r="F478" t="s">
        <v>13</v>
      </c>
      <c r="G478" t="s">
        <v>13</v>
      </c>
      <c r="H478" t="s">
        <v>13</v>
      </c>
      <c r="I478" t="s">
        <v>14</v>
      </c>
      <c r="J478" t="s">
        <v>27</v>
      </c>
      <c r="K478" t="s">
        <v>21</v>
      </c>
      <c r="L478" t="s">
        <v>17</v>
      </c>
    </row>
    <row r="479" spans="1:12" x14ac:dyDescent="0.25">
      <c r="A479" t="s">
        <v>979</v>
      </c>
      <c r="B479">
        <v>5</v>
      </c>
      <c r="C479" s="1">
        <v>44576</v>
      </c>
      <c r="D479" s="2">
        <v>0.70486111111111116</v>
      </c>
      <c r="E479" t="s">
        <v>980</v>
      </c>
      <c r="F479" t="s">
        <v>36</v>
      </c>
      <c r="G479" t="s">
        <v>36</v>
      </c>
      <c r="H479" t="s">
        <v>36</v>
      </c>
      <c r="I479" t="s">
        <v>13</v>
      </c>
      <c r="J479" t="s">
        <v>27</v>
      </c>
      <c r="K479" t="s">
        <v>21</v>
      </c>
      <c r="L479" t="s">
        <v>17</v>
      </c>
    </row>
    <row r="480" spans="1:12" x14ac:dyDescent="0.25">
      <c r="A480" t="s">
        <v>981</v>
      </c>
      <c r="B480">
        <v>1</v>
      </c>
      <c r="C480" s="1">
        <v>44576</v>
      </c>
      <c r="D480" s="2">
        <v>0.50972222222222219</v>
      </c>
      <c r="E480" t="s">
        <v>982</v>
      </c>
      <c r="F480" t="s">
        <v>31</v>
      </c>
      <c r="G480" t="s">
        <v>31</v>
      </c>
      <c r="H480" t="s">
        <v>31</v>
      </c>
      <c r="I480" t="s">
        <v>32</v>
      </c>
      <c r="J480" t="s">
        <v>27</v>
      </c>
      <c r="K480" t="s">
        <v>21</v>
      </c>
      <c r="L480" t="s">
        <v>33</v>
      </c>
    </row>
    <row r="481" spans="1:12" x14ac:dyDescent="0.25">
      <c r="A481" t="s">
        <v>983</v>
      </c>
      <c r="B481">
        <v>3</v>
      </c>
      <c r="C481" s="1">
        <v>44575</v>
      </c>
      <c r="D481" s="2">
        <v>0.3215277777777778</v>
      </c>
      <c r="E481" t="s">
        <v>984</v>
      </c>
      <c r="F481" t="s">
        <v>31</v>
      </c>
      <c r="G481" t="s">
        <v>31</v>
      </c>
      <c r="H481" t="s">
        <v>31</v>
      </c>
      <c r="I481" t="s">
        <v>32</v>
      </c>
      <c r="J481" t="s">
        <v>27</v>
      </c>
      <c r="K481" t="s">
        <v>16</v>
      </c>
      <c r="L481" t="s">
        <v>33</v>
      </c>
    </row>
    <row r="482" spans="1:12" x14ac:dyDescent="0.25">
      <c r="A482" t="s">
        <v>985</v>
      </c>
      <c r="B482">
        <v>3</v>
      </c>
      <c r="C482" s="1">
        <v>44575</v>
      </c>
      <c r="D482" s="2">
        <v>0.17222222222222225</v>
      </c>
      <c r="E482" t="s">
        <v>986</v>
      </c>
      <c r="F482" t="s">
        <v>31</v>
      </c>
      <c r="G482" t="s">
        <v>31</v>
      </c>
      <c r="H482" t="s">
        <v>31</v>
      </c>
      <c r="I482" t="s">
        <v>32</v>
      </c>
      <c r="J482" t="s">
        <v>27</v>
      </c>
      <c r="K482" t="s">
        <v>21</v>
      </c>
      <c r="L482" t="s">
        <v>33</v>
      </c>
    </row>
    <row r="483" spans="1:12" x14ac:dyDescent="0.25">
      <c r="A483" t="s">
        <v>987</v>
      </c>
      <c r="B483">
        <v>5</v>
      </c>
      <c r="C483" s="1">
        <v>44575</v>
      </c>
      <c r="D483" s="2">
        <v>0.12152777777777778</v>
      </c>
      <c r="E483" t="s">
        <v>988</v>
      </c>
      <c r="F483" t="s">
        <v>13</v>
      </c>
      <c r="G483" t="s">
        <v>13</v>
      </c>
      <c r="H483" t="s">
        <v>13</v>
      </c>
      <c r="I483" t="s">
        <v>14</v>
      </c>
      <c r="J483" t="s">
        <v>27</v>
      </c>
      <c r="K483" t="s">
        <v>21</v>
      </c>
      <c r="L483" t="s">
        <v>17</v>
      </c>
    </row>
    <row r="484" spans="1:12" x14ac:dyDescent="0.25">
      <c r="A484" t="s">
        <v>989</v>
      </c>
      <c r="B484">
        <v>1</v>
      </c>
      <c r="C484" s="1">
        <v>44575</v>
      </c>
      <c r="D484" s="2">
        <v>8.4722222222222213E-2</v>
      </c>
      <c r="E484" t="s">
        <v>990</v>
      </c>
      <c r="F484" t="s">
        <v>13</v>
      </c>
      <c r="G484" t="s">
        <v>13</v>
      </c>
      <c r="H484" t="s">
        <v>13</v>
      </c>
      <c r="I484" t="s">
        <v>14</v>
      </c>
      <c r="J484" t="s">
        <v>27</v>
      </c>
      <c r="K484" t="s">
        <v>21</v>
      </c>
      <c r="L484" t="s">
        <v>17</v>
      </c>
    </row>
    <row r="485" spans="1:12" x14ac:dyDescent="0.25">
      <c r="A485" t="s">
        <v>991</v>
      </c>
      <c r="B485">
        <v>1</v>
      </c>
      <c r="C485" s="1">
        <v>44575</v>
      </c>
      <c r="D485" s="2">
        <v>0.56805555555555554</v>
      </c>
      <c r="E485" t="s">
        <v>992</v>
      </c>
      <c r="F485" t="s">
        <v>31</v>
      </c>
      <c r="G485" t="s">
        <v>31</v>
      </c>
      <c r="H485" t="s">
        <v>31</v>
      </c>
      <c r="I485" t="s">
        <v>32</v>
      </c>
      <c r="J485" t="s">
        <v>27</v>
      </c>
      <c r="K485" t="s">
        <v>16</v>
      </c>
      <c r="L485" t="s">
        <v>33</v>
      </c>
    </row>
    <row r="486" spans="1:12" x14ac:dyDescent="0.25">
      <c r="A486" t="s">
        <v>993</v>
      </c>
      <c r="B486">
        <v>1</v>
      </c>
      <c r="C486" s="1">
        <v>44575</v>
      </c>
      <c r="D486" s="2">
        <v>0.52777777777777779</v>
      </c>
      <c r="E486" t="s">
        <v>994</v>
      </c>
      <c r="F486" t="s">
        <v>13</v>
      </c>
      <c r="G486" t="s">
        <v>13</v>
      </c>
      <c r="H486" t="s">
        <v>13</v>
      </c>
      <c r="I486" t="s">
        <v>14</v>
      </c>
      <c r="J486" t="s">
        <v>27</v>
      </c>
      <c r="K486" t="s">
        <v>21</v>
      </c>
      <c r="L486" t="s">
        <v>17</v>
      </c>
    </row>
    <row r="487" spans="1:12" x14ac:dyDescent="0.25">
      <c r="A487" t="s">
        <v>995</v>
      </c>
      <c r="B487">
        <v>3</v>
      </c>
      <c r="C487" s="1">
        <v>44575</v>
      </c>
      <c r="D487" s="2">
        <v>0.52222222222222225</v>
      </c>
      <c r="E487" t="s">
        <v>996</v>
      </c>
      <c r="F487" t="s">
        <v>13</v>
      </c>
      <c r="G487" t="s">
        <v>13</v>
      </c>
      <c r="H487" t="s">
        <v>13</v>
      </c>
      <c r="I487" t="s">
        <v>14</v>
      </c>
      <c r="J487" t="s">
        <v>27</v>
      </c>
      <c r="K487" t="s">
        <v>21</v>
      </c>
      <c r="L487" t="s">
        <v>17</v>
      </c>
    </row>
    <row r="488" spans="1:12" x14ac:dyDescent="0.25">
      <c r="A488" t="s">
        <v>997</v>
      </c>
      <c r="B488">
        <v>5</v>
      </c>
      <c r="C488" s="1">
        <v>44575</v>
      </c>
      <c r="D488" s="2">
        <v>0.45069444444444445</v>
      </c>
      <c r="E488" t="s">
        <v>998</v>
      </c>
      <c r="F488" t="s">
        <v>13</v>
      </c>
      <c r="G488" t="s">
        <v>13</v>
      </c>
      <c r="H488" t="s">
        <v>13</v>
      </c>
      <c r="I488" t="s">
        <v>14</v>
      </c>
      <c r="J488" t="s">
        <v>27</v>
      </c>
      <c r="K488" t="s">
        <v>16</v>
      </c>
      <c r="L488" t="s">
        <v>17</v>
      </c>
    </row>
    <row r="489" spans="1:12" x14ac:dyDescent="0.25">
      <c r="A489" t="s">
        <v>999</v>
      </c>
      <c r="B489">
        <v>4</v>
      </c>
      <c r="C489" s="1">
        <v>44575</v>
      </c>
      <c r="D489" s="2">
        <v>6.9444444444444441E-3</v>
      </c>
      <c r="E489" t="s">
        <v>1000</v>
      </c>
      <c r="F489" t="s">
        <v>36</v>
      </c>
      <c r="G489" t="s">
        <v>36</v>
      </c>
      <c r="H489" t="s">
        <v>36</v>
      </c>
      <c r="I489" t="s">
        <v>13</v>
      </c>
      <c r="J489" t="s">
        <v>27</v>
      </c>
      <c r="K489" t="s">
        <v>21</v>
      </c>
      <c r="L489" t="s">
        <v>17</v>
      </c>
    </row>
    <row r="490" spans="1:12" x14ac:dyDescent="0.25">
      <c r="A490" t="s">
        <v>1001</v>
      </c>
      <c r="B490">
        <v>4</v>
      </c>
      <c r="C490" s="1">
        <v>44574</v>
      </c>
      <c r="D490" s="2">
        <v>0.38194444444444442</v>
      </c>
      <c r="E490" t="s">
        <v>1002</v>
      </c>
      <c r="F490" t="s">
        <v>31</v>
      </c>
      <c r="G490" t="s">
        <v>31</v>
      </c>
      <c r="H490" t="s">
        <v>31</v>
      </c>
      <c r="I490" t="s">
        <v>32</v>
      </c>
      <c r="J490" t="s">
        <v>27</v>
      </c>
      <c r="K490" t="s">
        <v>21</v>
      </c>
      <c r="L490" t="s">
        <v>33</v>
      </c>
    </row>
    <row r="491" spans="1:12" x14ac:dyDescent="0.25">
      <c r="A491" t="s">
        <v>1003</v>
      </c>
      <c r="B491">
        <v>1</v>
      </c>
      <c r="C491" s="1">
        <v>44574</v>
      </c>
      <c r="D491" s="2">
        <v>0.2902777777777778</v>
      </c>
      <c r="E491" t="s">
        <v>1004</v>
      </c>
      <c r="F491" t="s">
        <v>13</v>
      </c>
      <c r="G491" t="s">
        <v>13</v>
      </c>
      <c r="H491" t="s">
        <v>13</v>
      </c>
      <c r="I491" t="s">
        <v>14</v>
      </c>
      <c r="J491" t="s">
        <v>27</v>
      </c>
      <c r="K491" t="s">
        <v>21</v>
      </c>
      <c r="L491" t="s">
        <v>17</v>
      </c>
    </row>
    <row r="492" spans="1:12" x14ac:dyDescent="0.25">
      <c r="A492" t="s">
        <v>1005</v>
      </c>
      <c r="B492">
        <v>3</v>
      </c>
      <c r="C492" s="1">
        <v>44574</v>
      </c>
      <c r="D492" s="2">
        <v>0.19027777777777777</v>
      </c>
      <c r="E492" t="s">
        <v>1006</v>
      </c>
      <c r="F492" t="s">
        <v>13</v>
      </c>
      <c r="G492" t="s">
        <v>13</v>
      </c>
      <c r="H492" t="s">
        <v>13</v>
      </c>
      <c r="I492" t="s">
        <v>14</v>
      </c>
      <c r="J492" t="s">
        <v>27</v>
      </c>
      <c r="K492" t="s">
        <v>28</v>
      </c>
      <c r="L492" t="s">
        <v>17</v>
      </c>
    </row>
    <row r="493" spans="1:12" x14ac:dyDescent="0.25">
      <c r="A493" t="s">
        <v>1007</v>
      </c>
      <c r="B493">
        <v>2</v>
      </c>
      <c r="C493" s="1">
        <v>44574</v>
      </c>
      <c r="D493" s="2">
        <v>0.74236111111111114</v>
      </c>
      <c r="E493" t="s">
        <v>1008</v>
      </c>
      <c r="F493" t="s">
        <v>13</v>
      </c>
      <c r="G493" t="s">
        <v>13</v>
      </c>
      <c r="H493" t="s">
        <v>13</v>
      </c>
      <c r="I493" t="s">
        <v>14</v>
      </c>
      <c r="J493" t="s">
        <v>27</v>
      </c>
      <c r="K493" t="s">
        <v>21</v>
      </c>
      <c r="L493" t="s">
        <v>17</v>
      </c>
    </row>
    <row r="494" spans="1:12" x14ac:dyDescent="0.25">
      <c r="A494" t="s">
        <v>1009</v>
      </c>
      <c r="B494">
        <v>1</v>
      </c>
      <c r="C494" s="1">
        <v>44574</v>
      </c>
      <c r="D494" s="2">
        <v>0.43472222222222223</v>
      </c>
      <c r="E494" t="s">
        <v>1010</v>
      </c>
      <c r="F494" t="s">
        <v>13</v>
      </c>
      <c r="G494" t="s">
        <v>13</v>
      </c>
      <c r="H494" t="s">
        <v>13</v>
      </c>
      <c r="I494" t="s">
        <v>14</v>
      </c>
      <c r="J494" t="s">
        <v>27</v>
      </c>
      <c r="K494" t="s">
        <v>21</v>
      </c>
      <c r="L494" t="s">
        <v>17</v>
      </c>
    </row>
    <row r="495" spans="1:12" x14ac:dyDescent="0.25">
      <c r="A495" t="s">
        <v>1011</v>
      </c>
      <c r="B495">
        <v>5</v>
      </c>
      <c r="C495" s="1">
        <v>44574</v>
      </c>
      <c r="D495" s="2">
        <v>3.4027777777777775E-2</v>
      </c>
      <c r="E495" t="s">
        <v>1012</v>
      </c>
      <c r="F495" t="s">
        <v>36</v>
      </c>
      <c r="G495" t="s">
        <v>36</v>
      </c>
      <c r="H495" t="s">
        <v>36</v>
      </c>
      <c r="I495" t="s">
        <v>13</v>
      </c>
      <c r="J495" t="s">
        <v>27</v>
      </c>
      <c r="K495" t="s">
        <v>16</v>
      </c>
      <c r="L495" t="s">
        <v>17</v>
      </c>
    </row>
    <row r="496" spans="1:12" x14ac:dyDescent="0.25">
      <c r="A496" t="s">
        <v>1013</v>
      </c>
      <c r="B496">
        <v>1</v>
      </c>
      <c r="C496" s="1">
        <v>44574</v>
      </c>
      <c r="D496" s="2">
        <v>2.361111111111111E-2</v>
      </c>
      <c r="E496" t="s">
        <v>1014</v>
      </c>
      <c r="F496" t="s">
        <v>13</v>
      </c>
      <c r="G496" t="s">
        <v>13</v>
      </c>
      <c r="H496" t="s">
        <v>13</v>
      </c>
      <c r="I496" t="s">
        <v>14</v>
      </c>
      <c r="J496" t="s">
        <v>27</v>
      </c>
      <c r="K496" t="s">
        <v>28</v>
      </c>
      <c r="L496" t="s">
        <v>17</v>
      </c>
    </row>
    <row r="497" spans="1:12" x14ac:dyDescent="0.25">
      <c r="A497" t="s">
        <v>1015</v>
      </c>
      <c r="B497">
        <v>4</v>
      </c>
      <c r="C497" s="1">
        <v>44573</v>
      </c>
      <c r="D497" s="2">
        <v>0.38958333333333334</v>
      </c>
      <c r="E497" t="s">
        <v>1016</v>
      </c>
      <c r="F497" t="s">
        <v>31</v>
      </c>
      <c r="G497" t="s">
        <v>31</v>
      </c>
      <c r="H497" t="s">
        <v>31</v>
      </c>
      <c r="I497" t="s">
        <v>32</v>
      </c>
      <c r="J497" t="s">
        <v>27</v>
      </c>
      <c r="K497" t="s">
        <v>16</v>
      </c>
      <c r="L497" t="s">
        <v>33</v>
      </c>
    </row>
    <row r="498" spans="1:12" x14ac:dyDescent="0.25">
      <c r="A498" t="s">
        <v>1017</v>
      </c>
      <c r="B498">
        <v>1</v>
      </c>
      <c r="C498" s="1">
        <v>44573</v>
      </c>
      <c r="D498" s="2">
        <v>0.34375</v>
      </c>
      <c r="E498" t="s">
        <v>1018</v>
      </c>
      <c r="F498" t="s">
        <v>13</v>
      </c>
      <c r="G498" t="s">
        <v>13</v>
      </c>
      <c r="H498" t="s">
        <v>13</v>
      </c>
      <c r="I498" t="s">
        <v>14</v>
      </c>
      <c r="J498" t="s">
        <v>27</v>
      </c>
      <c r="K498" t="s">
        <v>21</v>
      </c>
      <c r="L498" t="s">
        <v>17</v>
      </c>
    </row>
    <row r="499" spans="1:12" x14ac:dyDescent="0.25">
      <c r="A499" t="s">
        <v>1019</v>
      </c>
      <c r="B499">
        <v>1</v>
      </c>
      <c r="C499" s="1">
        <v>44573</v>
      </c>
      <c r="D499" s="2">
        <v>0.19513888888888889</v>
      </c>
      <c r="E499" t="s">
        <v>1020</v>
      </c>
      <c r="F499" t="s">
        <v>13</v>
      </c>
      <c r="G499" t="s">
        <v>13</v>
      </c>
      <c r="H499" t="s">
        <v>13</v>
      </c>
      <c r="I499" t="s">
        <v>14</v>
      </c>
      <c r="J499" t="s">
        <v>27</v>
      </c>
      <c r="K499" t="s">
        <v>21</v>
      </c>
      <c r="L499" t="s">
        <v>17</v>
      </c>
    </row>
    <row r="500" spans="1:12" x14ac:dyDescent="0.25">
      <c r="A500" t="s">
        <v>1021</v>
      </c>
      <c r="B500">
        <v>1</v>
      </c>
      <c r="C500" s="1">
        <v>44573</v>
      </c>
      <c r="D500" s="2">
        <v>0.9590277777777777</v>
      </c>
      <c r="E500" t="s">
        <v>1022</v>
      </c>
      <c r="F500" t="s">
        <v>13</v>
      </c>
      <c r="G500" t="s">
        <v>13</v>
      </c>
      <c r="H500" t="s">
        <v>13</v>
      </c>
      <c r="I500" t="s">
        <v>14</v>
      </c>
      <c r="J500" t="s">
        <v>27</v>
      </c>
      <c r="K500" t="s">
        <v>21</v>
      </c>
      <c r="L500" t="s">
        <v>17</v>
      </c>
    </row>
    <row r="501" spans="1:12" x14ac:dyDescent="0.25">
      <c r="A501" t="s">
        <v>1023</v>
      </c>
      <c r="B501">
        <v>2</v>
      </c>
      <c r="C501" s="1">
        <v>44573</v>
      </c>
      <c r="D501" s="2">
        <v>0.8256944444444444</v>
      </c>
      <c r="E501" t="s">
        <v>1024</v>
      </c>
      <c r="F501" t="s">
        <v>13</v>
      </c>
      <c r="G501" t="s">
        <v>13</v>
      </c>
      <c r="H501" t="s">
        <v>13</v>
      </c>
      <c r="I501" t="s">
        <v>14</v>
      </c>
      <c r="J501" t="s">
        <v>27</v>
      </c>
      <c r="K501" t="s">
        <v>16</v>
      </c>
      <c r="L501" t="s">
        <v>17</v>
      </c>
    </row>
    <row r="502" spans="1:12" x14ac:dyDescent="0.25">
      <c r="A502" t="s">
        <v>1025</v>
      </c>
      <c r="B502">
        <v>1</v>
      </c>
      <c r="C502" s="1">
        <v>44573</v>
      </c>
      <c r="D502" s="2">
        <v>0.5395833333333333</v>
      </c>
      <c r="E502" t="s">
        <v>1026</v>
      </c>
      <c r="F502" t="s">
        <v>31</v>
      </c>
      <c r="G502" t="s">
        <v>31</v>
      </c>
      <c r="H502" t="s">
        <v>31</v>
      </c>
      <c r="I502" t="s">
        <v>32</v>
      </c>
      <c r="J502" t="s">
        <v>27</v>
      </c>
      <c r="K502" t="s">
        <v>28</v>
      </c>
      <c r="L502" t="s">
        <v>33</v>
      </c>
    </row>
    <row r="503" spans="1:12" x14ac:dyDescent="0.25">
      <c r="A503" t="s">
        <v>1027</v>
      </c>
      <c r="B503">
        <v>1</v>
      </c>
      <c r="C503" s="1">
        <v>44572</v>
      </c>
      <c r="D503" s="2">
        <v>8.3333333333333329E-2</v>
      </c>
      <c r="E503" t="s">
        <v>1028</v>
      </c>
      <c r="F503" t="s">
        <v>13</v>
      </c>
      <c r="G503" t="s">
        <v>13</v>
      </c>
      <c r="H503" t="s">
        <v>13</v>
      </c>
      <c r="I503" t="s">
        <v>14</v>
      </c>
      <c r="J503" t="s">
        <v>27</v>
      </c>
      <c r="K503" t="s">
        <v>28</v>
      </c>
      <c r="L503" t="s">
        <v>17</v>
      </c>
    </row>
    <row r="504" spans="1:12" x14ac:dyDescent="0.25">
      <c r="A504" t="s">
        <v>1029</v>
      </c>
      <c r="B504">
        <v>1</v>
      </c>
      <c r="C504" s="1">
        <v>44572</v>
      </c>
      <c r="D504" s="2">
        <v>0.62291666666666667</v>
      </c>
      <c r="E504" t="s">
        <v>1030</v>
      </c>
      <c r="F504" t="s">
        <v>13</v>
      </c>
      <c r="G504" t="s">
        <v>13</v>
      </c>
      <c r="H504" t="s">
        <v>13</v>
      </c>
      <c r="I504" t="s">
        <v>14</v>
      </c>
      <c r="J504" t="s">
        <v>27</v>
      </c>
      <c r="K504" t="s">
        <v>21</v>
      </c>
      <c r="L504" t="s">
        <v>17</v>
      </c>
    </row>
    <row r="505" spans="1:12" x14ac:dyDescent="0.25">
      <c r="A505" t="s">
        <v>1031</v>
      </c>
      <c r="B505">
        <v>3</v>
      </c>
      <c r="C505" s="1">
        <v>44572</v>
      </c>
      <c r="D505" s="2">
        <v>0.53680555555555554</v>
      </c>
      <c r="E505" t="s">
        <v>1032</v>
      </c>
      <c r="F505" t="s">
        <v>13</v>
      </c>
      <c r="G505" t="s">
        <v>13</v>
      </c>
      <c r="H505" t="s">
        <v>13</v>
      </c>
      <c r="I505" t="s">
        <v>14</v>
      </c>
      <c r="J505" t="s">
        <v>27</v>
      </c>
      <c r="K505" t="s">
        <v>21</v>
      </c>
      <c r="L505" t="s">
        <v>17</v>
      </c>
    </row>
    <row r="506" spans="1:12" x14ac:dyDescent="0.25">
      <c r="A506" t="s">
        <v>1033</v>
      </c>
      <c r="B506">
        <v>1</v>
      </c>
      <c r="C506" s="1">
        <v>44572</v>
      </c>
      <c r="D506" s="2">
        <v>2.9861111111111113E-2</v>
      </c>
      <c r="E506" t="s">
        <v>1034</v>
      </c>
      <c r="F506" t="s">
        <v>13</v>
      </c>
      <c r="G506" t="s">
        <v>13</v>
      </c>
      <c r="H506" t="s">
        <v>13</v>
      </c>
      <c r="I506" t="s">
        <v>14</v>
      </c>
      <c r="J506" t="s">
        <v>27</v>
      </c>
      <c r="K506" t="s">
        <v>21</v>
      </c>
      <c r="L506" t="s">
        <v>17</v>
      </c>
    </row>
    <row r="507" spans="1:12" x14ac:dyDescent="0.25">
      <c r="A507" t="s">
        <v>1035</v>
      </c>
      <c r="B507">
        <v>1</v>
      </c>
      <c r="C507" s="1">
        <v>44571</v>
      </c>
      <c r="D507" s="2">
        <v>0.10277777777777779</v>
      </c>
      <c r="E507" t="s">
        <v>1036</v>
      </c>
      <c r="F507" t="s">
        <v>13</v>
      </c>
      <c r="G507" t="s">
        <v>13</v>
      </c>
      <c r="H507" t="s">
        <v>13</v>
      </c>
      <c r="I507" t="s">
        <v>14</v>
      </c>
      <c r="J507" t="s">
        <v>27</v>
      </c>
      <c r="K507" t="s">
        <v>21</v>
      </c>
      <c r="L507" t="s">
        <v>17</v>
      </c>
    </row>
    <row r="508" spans="1:12" x14ac:dyDescent="0.25">
      <c r="A508" t="s">
        <v>1037</v>
      </c>
      <c r="B508">
        <v>1</v>
      </c>
      <c r="C508" s="1">
        <v>44571</v>
      </c>
      <c r="D508" s="2">
        <v>0.70972222222222225</v>
      </c>
      <c r="E508" t="s">
        <v>1038</v>
      </c>
      <c r="F508" t="s">
        <v>13</v>
      </c>
      <c r="G508" t="s">
        <v>13</v>
      </c>
      <c r="H508" t="s">
        <v>13</v>
      </c>
      <c r="I508" t="s">
        <v>14</v>
      </c>
      <c r="J508" t="s">
        <v>27</v>
      </c>
      <c r="K508" t="s">
        <v>21</v>
      </c>
      <c r="L508" t="s">
        <v>17</v>
      </c>
    </row>
    <row r="509" spans="1:12" x14ac:dyDescent="0.25">
      <c r="A509" t="s">
        <v>1039</v>
      </c>
      <c r="B509">
        <v>1</v>
      </c>
      <c r="C509" s="1">
        <v>44571</v>
      </c>
      <c r="D509" s="2">
        <v>0.61805555555555558</v>
      </c>
      <c r="E509" t="s">
        <v>1040</v>
      </c>
      <c r="F509" t="s">
        <v>13</v>
      </c>
      <c r="G509" t="s">
        <v>13</v>
      </c>
      <c r="H509" t="s">
        <v>13</v>
      </c>
      <c r="I509" t="s">
        <v>14</v>
      </c>
      <c r="J509" t="s">
        <v>27</v>
      </c>
      <c r="K509" t="s">
        <v>21</v>
      </c>
      <c r="L509" t="s">
        <v>17</v>
      </c>
    </row>
    <row r="510" spans="1:12" x14ac:dyDescent="0.25">
      <c r="A510" t="s">
        <v>1041</v>
      </c>
      <c r="B510">
        <v>1</v>
      </c>
      <c r="C510" s="1">
        <v>44571</v>
      </c>
      <c r="D510" s="2">
        <v>0.54722222222222217</v>
      </c>
      <c r="E510" t="s">
        <v>1042</v>
      </c>
      <c r="F510" t="s">
        <v>13</v>
      </c>
      <c r="G510" t="s">
        <v>13</v>
      </c>
      <c r="H510" t="s">
        <v>13</v>
      </c>
      <c r="I510" t="s">
        <v>14</v>
      </c>
      <c r="J510" t="s">
        <v>27</v>
      </c>
      <c r="K510" t="s">
        <v>28</v>
      </c>
      <c r="L510" t="s">
        <v>17</v>
      </c>
    </row>
    <row r="511" spans="1:12" x14ac:dyDescent="0.25">
      <c r="A511" t="s">
        <v>1043</v>
      </c>
      <c r="B511">
        <v>1</v>
      </c>
      <c r="C511" s="1">
        <v>44571</v>
      </c>
      <c r="D511" s="2">
        <v>0.53333333333333333</v>
      </c>
      <c r="E511" t="s">
        <v>1044</v>
      </c>
      <c r="F511" t="s">
        <v>13</v>
      </c>
      <c r="G511" t="s">
        <v>13</v>
      </c>
      <c r="H511" t="s">
        <v>13</v>
      </c>
      <c r="I511" t="s">
        <v>14</v>
      </c>
      <c r="J511" t="s">
        <v>27</v>
      </c>
      <c r="K511" t="s">
        <v>21</v>
      </c>
      <c r="L511" t="s">
        <v>17</v>
      </c>
    </row>
    <row r="512" spans="1:12" x14ac:dyDescent="0.25">
      <c r="A512" t="s">
        <v>1045</v>
      </c>
      <c r="B512">
        <v>1</v>
      </c>
      <c r="C512" s="1">
        <v>44571</v>
      </c>
      <c r="D512" s="2">
        <v>0.52430555555555558</v>
      </c>
      <c r="E512" t="s">
        <v>1046</v>
      </c>
      <c r="F512" t="s">
        <v>31</v>
      </c>
      <c r="G512" t="s">
        <v>31</v>
      </c>
      <c r="H512" t="s">
        <v>31</v>
      </c>
      <c r="I512" t="s">
        <v>32</v>
      </c>
      <c r="J512" t="s">
        <v>27</v>
      </c>
      <c r="K512" t="s">
        <v>16</v>
      </c>
      <c r="L512" t="s">
        <v>33</v>
      </c>
    </row>
    <row r="513" spans="1:12" x14ac:dyDescent="0.25">
      <c r="A513" t="s">
        <v>1047</v>
      </c>
      <c r="B513">
        <v>1</v>
      </c>
      <c r="C513" s="1">
        <v>44571</v>
      </c>
      <c r="D513" s="2">
        <v>0.4909722222222222</v>
      </c>
      <c r="E513" t="s">
        <v>1048</v>
      </c>
      <c r="F513" t="s">
        <v>13</v>
      </c>
      <c r="G513" t="s">
        <v>13</v>
      </c>
      <c r="H513" t="s">
        <v>13</v>
      </c>
      <c r="I513" t="s">
        <v>14</v>
      </c>
      <c r="J513" t="s">
        <v>27</v>
      </c>
      <c r="K513" t="s">
        <v>28</v>
      </c>
      <c r="L513" t="s">
        <v>17</v>
      </c>
    </row>
    <row r="514" spans="1:12" x14ac:dyDescent="0.25">
      <c r="A514" t="s">
        <v>1049</v>
      </c>
      <c r="B514">
        <v>4</v>
      </c>
      <c r="C514" s="1">
        <v>44571</v>
      </c>
      <c r="D514" s="2">
        <v>0.46527777777777773</v>
      </c>
      <c r="E514" t="s">
        <v>1050</v>
      </c>
      <c r="F514" t="s">
        <v>31</v>
      </c>
      <c r="G514" t="s">
        <v>31</v>
      </c>
      <c r="H514" t="s">
        <v>31</v>
      </c>
      <c r="I514" t="s">
        <v>32</v>
      </c>
      <c r="J514" t="s">
        <v>27</v>
      </c>
      <c r="K514" t="s">
        <v>21</v>
      </c>
      <c r="L514" t="s">
        <v>33</v>
      </c>
    </row>
    <row r="515" spans="1:12" x14ac:dyDescent="0.25">
      <c r="A515" t="s">
        <v>1051</v>
      </c>
      <c r="B515">
        <v>2</v>
      </c>
      <c r="C515" s="1">
        <v>44570</v>
      </c>
      <c r="D515" s="2">
        <v>0.18263888888888891</v>
      </c>
      <c r="E515" t="s">
        <v>1052</v>
      </c>
      <c r="F515" t="s">
        <v>31</v>
      </c>
      <c r="G515" t="s">
        <v>31</v>
      </c>
      <c r="H515" t="s">
        <v>31</v>
      </c>
      <c r="I515" t="s">
        <v>32</v>
      </c>
      <c r="J515" t="s">
        <v>27</v>
      </c>
      <c r="K515" t="s">
        <v>21</v>
      </c>
      <c r="L515" t="s">
        <v>33</v>
      </c>
    </row>
    <row r="516" spans="1:12" x14ac:dyDescent="0.25">
      <c r="A516" t="s">
        <v>1053</v>
      </c>
      <c r="B516">
        <v>3</v>
      </c>
      <c r="C516" s="1">
        <v>44570</v>
      </c>
      <c r="D516" s="2">
        <v>0.68819444444444444</v>
      </c>
      <c r="E516" t="s">
        <v>1054</v>
      </c>
      <c r="F516" t="s">
        <v>36</v>
      </c>
      <c r="G516" t="s">
        <v>36</v>
      </c>
      <c r="H516" t="s">
        <v>36</v>
      </c>
      <c r="I516" t="s">
        <v>13</v>
      </c>
      <c r="J516" t="s">
        <v>27</v>
      </c>
      <c r="K516" t="s">
        <v>21</v>
      </c>
      <c r="L516" t="s">
        <v>17</v>
      </c>
    </row>
    <row r="517" spans="1:12" x14ac:dyDescent="0.25">
      <c r="A517" t="s">
        <v>1055</v>
      </c>
      <c r="B517">
        <v>1</v>
      </c>
      <c r="C517" s="1">
        <v>44570</v>
      </c>
      <c r="D517" s="2">
        <v>0.65208333333333335</v>
      </c>
      <c r="E517" t="s">
        <v>1056</v>
      </c>
      <c r="F517" t="s">
        <v>13</v>
      </c>
      <c r="G517" t="s">
        <v>13</v>
      </c>
      <c r="H517" t="s">
        <v>13</v>
      </c>
      <c r="I517" t="s">
        <v>14</v>
      </c>
      <c r="J517" t="s">
        <v>27</v>
      </c>
      <c r="K517" t="s">
        <v>21</v>
      </c>
      <c r="L517" t="s">
        <v>17</v>
      </c>
    </row>
    <row r="518" spans="1:12" x14ac:dyDescent="0.25">
      <c r="A518" t="s">
        <v>1057</v>
      </c>
      <c r="B518">
        <v>5</v>
      </c>
      <c r="C518" s="1">
        <v>44570</v>
      </c>
      <c r="D518" s="2">
        <v>0.5708333333333333</v>
      </c>
      <c r="E518" t="s">
        <v>1058</v>
      </c>
      <c r="F518" t="s">
        <v>36</v>
      </c>
      <c r="G518" t="s">
        <v>36</v>
      </c>
      <c r="H518" t="s">
        <v>36</v>
      </c>
      <c r="I518" t="s">
        <v>13</v>
      </c>
      <c r="J518" t="s">
        <v>27</v>
      </c>
      <c r="K518" t="s">
        <v>28</v>
      </c>
      <c r="L518" t="s">
        <v>17</v>
      </c>
    </row>
    <row r="519" spans="1:12" x14ac:dyDescent="0.25">
      <c r="A519" t="s">
        <v>1059</v>
      </c>
      <c r="B519">
        <v>3</v>
      </c>
      <c r="C519" s="1">
        <v>44570</v>
      </c>
      <c r="D519" s="2">
        <v>0.52013888888888882</v>
      </c>
      <c r="E519" t="s">
        <v>1060</v>
      </c>
      <c r="F519" t="s">
        <v>31</v>
      </c>
      <c r="G519" t="s">
        <v>31</v>
      </c>
      <c r="H519" t="s">
        <v>31</v>
      </c>
      <c r="I519" t="s">
        <v>32</v>
      </c>
      <c r="J519" t="s">
        <v>27</v>
      </c>
      <c r="K519" t="s">
        <v>21</v>
      </c>
      <c r="L519" t="s">
        <v>33</v>
      </c>
    </row>
    <row r="520" spans="1:12" x14ac:dyDescent="0.25">
      <c r="A520" t="s">
        <v>1061</v>
      </c>
      <c r="B520">
        <v>1</v>
      </c>
      <c r="C520" s="1">
        <v>44570</v>
      </c>
      <c r="D520" s="2">
        <v>0.50138888888888888</v>
      </c>
      <c r="E520" t="s">
        <v>1062</v>
      </c>
      <c r="F520" t="s">
        <v>31</v>
      </c>
      <c r="G520" t="s">
        <v>31</v>
      </c>
      <c r="H520" t="s">
        <v>31</v>
      </c>
      <c r="I520" t="s">
        <v>32</v>
      </c>
      <c r="J520" t="s">
        <v>27</v>
      </c>
      <c r="K520" t="s">
        <v>21</v>
      </c>
      <c r="L520" t="s">
        <v>33</v>
      </c>
    </row>
    <row r="521" spans="1:12" x14ac:dyDescent="0.25">
      <c r="A521" t="s">
        <v>1063</v>
      </c>
      <c r="B521">
        <v>3</v>
      </c>
      <c r="C521" s="1">
        <v>44569</v>
      </c>
      <c r="D521" s="2">
        <v>0.54861111111111105</v>
      </c>
      <c r="E521" t="s">
        <v>1064</v>
      </c>
      <c r="F521" t="s">
        <v>13</v>
      </c>
      <c r="G521" t="s">
        <v>13</v>
      </c>
      <c r="H521" t="s">
        <v>13</v>
      </c>
      <c r="I521" t="s">
        <v>14</v>
      </c>
      <c r="J521" t="s">
        <v>27</v>
      </c>
      <c r="K521" t="s">
        <v>21</v>
      </c>
      <c r="L521" t="s">
        <v>17</v>
      </c>
    </row>
    <row r="522" spans="1:12" x14ac:dyDescent="0.25">
      <c r="A522" t="s">
        <v>1065</v>
      </c>
      <c r="B522">
        <v>1</v>
      </c>
      <c r="C522" s="1">
        <v>44568</v>
      </c>
      <c r="D522" s="2">
        <v>0.56388888888888888</v>
      </c>
      <c r="E522" t="s">
        <v>1066</v>
      </c>
      <c r="F522" t="s">
        <v>13</v>
      </c>
      <c r="G522" t="s">
        <v>13</v>
      </c>
      <c r="H522" t="s">
        <v>13</v>
      </c>
      <c r="I522" t="s">
        <v>14</v>
      </c>
      <c r="J522" t="s">
        <v>27</v>
      </c>
      <c r="K522" t="s">
        <v>21</v>
      </c>
      <c r="L522" t="s">
        <v>17</v>
      </c>
    </row>
    <row r="523" spans="1:12" x14ac:dyDescent="0.25">
      <c r="A523" t="s">
        <v>1067</v>
      </c>
      <c r="B523">
        <v>3</v>
      </c>
      <c r="C523" s="1">
        <v>44568</v>
      </c>
      <c r="D523" s="2">
        <v>0.50555555555555554</v>
      </c>
      <c r="E523" t="s">
        <v>1068</v>
      </c>
      <c r="F523" t="s">
        <v>31</v>
      </c>
      <c r="G523" t="s">
        <v>31</v>
      </c>
      <c r="H523" t="s">
        <v>31</v>
      </c>
      <c r="I523" t="s">
        <v>32</v>
      </c>
      <c r="J523" t="s">
        <v>27</v>
      </c>
      <c r="K523" t="s">
        <v>21</v>
      </c>
      <c r="L523" t="s">
        <v>33</v>
      </c>
    </row>
    <row r="524" spans="1:12" x14ac:dyDescent="0.25">
      <c r="A524" t="s">
        <v>1069</v>
      </c>
      <c r="B524">
        <v>4</v>
      </c>
      <c r="C524" s="1">
        <v>44567</v>
      </c>
      <c r="D524" s="2">
        <v>0.4145833333333333</v>
      </c>
      <c r="E524" t="s">
        <v>1070</v>
      </c>
      <c r="F524" t="s">
        <v>31</v>
      </c>
      <c r="G524" t="s">
        <v>31</v>
      </c>
      <c r="H524" t="s">
        <v>31</v>
      </c>
      <c r="I524" t="s">
        <v>32</v>
      </c>
      <c r="J524" t="s">
        <v>27</v>
      </c>
      <c r="K524" t="s">
        <v>21</v>
      </c>
      <c r="L524" t="s">
        <v>33</v>
      </c>
    </row>
    <row r="525" spans="1:12" x14ac:dyDescent="0.25">
      <c r="A525" t="s">
        <v>1071</v>
      </c>
      <c r="B525">
        <v>2</v>
      </c>
      <c r="C525" s="1">
        <v>44567</v>
      </c>
      <c r="D525" s="2">
        <v>0.40902777777777777</v>
      </c>
      <c r="E525" t="s">
        <v>1072</v>
      </c>
      <c r="F525" t="s">
        <v>31</v>
      </c>
      <c r="G525" t="s">
        <v>31</v>
      </c>
      <c r="H525" t="s">
        <v>31</v>
      </c>
      <c r="I525" t="s">
        <v>32</v>
      </c>
      <c r="J525" t="s">
        <v>27</v>
      </c>
      <c r="K525" t="s">
        <v>21</v>
      </c>
      <c r="L525" t="s">
        <v>33</v>
      </c>
    </row>
    <row r="526" spans="1:12" x14ac:dyDescent="0.25">
      <c r="A526" t="s">
        <v>1073</v>
      </c>
      <c r="B526">
        <v>1</v>
      </c>
      <c r="C526" s="1">
        <v>44567</v>
      </c>
      <c r="D526" s="2">
        <v>0.3263888888888889</v>
      </c>
      <c r="E526" t="s">
        <v>1074</v>
      </c>
      <c r="F526" t="s">
        <v>13</v>
      </c>
      <c r="G526" t="s">
        <v>13</v>
      </c>
      <c r="H526" t="s">
        <v>13</v>
      </c>
      <c r="I526" t="s">
        <v>14</v>
      </c>
      <c r="J526" t="s">
        <v>27</v>
      </c>
      <c r="K526" t="s">
        <v>21</v>
      </c>
      <c r="L526" t="s">
        <v>17</v>
      </c>
    </row>
    <row r="527" spans="1:12" x14ac:dyDescent="0.25">
      <c r="A527" t="s">
        <v>1075</v>
      </c>
      <c r="B527">
        <v>2</v>
      </c>
      <c r="C527" s="1">
        <v>44567</v>
      </c>
      <c r="D527" s="2">
        <v>0.20277777777777781</v>
      </c>
      <c r="E527" t="s">
        <v>1076</v>
      </c>
      <c r="F527" t="s">
        <v>13</v>
      </c>
      <c r="G527" t="s">
        <v>13</v>
      </c>
      <c r="H527" t="s">
        <v>13</v>
      </c>
      <c r="I527" t="s">
        <v>14</v>
      </c>
      <c r="J527" t="s">
        <v>27</v>
      </c>
      <c r="K527" t="s">
        <v>28</v>
      </c>
      <c r="L527" t="s">
        <v>17</v>
      </c>
    </row>
    <row r="528" spans="1:12" x14ac:dyDescent="0.25">
      <c r="A528" t="s">
        <v>1077</v>
      </c>
      <c r="B528">
        <v>1</v>
      </c>
      <c r="C528" s="1">
        <v>44567</v>
      </c>
      <c r="D528" s="2">
        <v>0.16111111111111112</v>
      </c>
      <c r="E528" t="s">
        <v>1078</v>
      </c>
      <c r="F528" t="s">
        <v>13</v>
      </c>
      <c r="G528" t="s">
        <v>13</v>
      </c>
      <c r="H528" t="s">
        <v>13</v>
      </c>
      <c r="I528" t="s">
        <v>14</v>
      </c>
      <c r="J528" t="s">
        <v>27</v>
      </c>
      <c r="K528" t="s">
        <v>28</v>
      </c>
      <c r="L528" t="s">
        <v>17</v>
      </c>
    </row>
    <row r="529" spans="1:12" x14ac:dyDescent="0.25">
      <c r="A529" t="s">
        <v>1079</v>
      </c>
      <c r="B529">
        <v>1</v>
      </c>
      <c r="C529" s="1">
        <v>44567</v>
      </c>
      <c r="D529" s="2">
        <v>0.71666666666666667</v>
      </c>
      <c r="E529" t="s">
        <v>1080</v>
      </c>
      <c r="F529" t="s">
        <v>13</v>
      </c>
      <c r="G529" t="s">
        <v>13</v>
      </c>
      <c r="H529" t="s">
        <v>13</v>
      </c>
      <c r="I529" t="s">
        <v>14</v>
      </c>
      <c r="J529" t="s">
        <v>27</v>
      </c>
      <c r="K529" t="s">
        <v>28</v>
      </c>
      <c r="L529" t="s">
        <v>17</v>
      </c>
    </row>
    <row r="530" spans="1:12" x14ac:dyDescent="0.25">
      <c r="A530" t="s">
        <v>1081</v>
      </c>
      <c r="B530">
        <v>5</v>
      </c>
      <c r="C530" s="1">
        <v>44567</v>
      </c>
      <c r="D530" s="2">
        <v>0.46319444444444446</v>
      </c>
      <c r="E530" t="s">
        <v>1082</v>
      </c>
      <c r="F530" t="s">
        <v>36</v>
      </c>
      <c r="G530" t="s">
        <v>36</v>
      </c>
      <c r="H530" t="s">
        <v>36</v>
      </c>
      <c r="I530" t="s">
        <v>13</v>
      </c>
      <c r="J530" t="s">
        <v>27</v>
      </c>
      <c r="K530" t="s">
        <v>16</v>
      </c>
      <c r="L530" t="s">
        <v>17</v>
      </c>
    </row>
    <row r="531" spans="1:12" x14ac:dyDescent="0.25">
      <c r="A531" t="s">
        <v>1083</v>
      </c>
      <c r="B531">
        <v>3</v>
      </c>
      <c r="C531" s="1">
        <v>44566</v>
      </c>
      <c r="D531" s="2">
        <v>0.35416666666666669</v>
      </c>
      <c r="E531" t="s">
        <v>1084</v>
      </c>
      <c r="F531" t="s">
        <v>36</v>
      </c>
      <c r="G531" t="s">
        <v>36</v>
      </c>
      <c r="H531" t="s">
        <v>36</v>
      </c>
      <c r="I531" t="s">
        <v>13</v>
      </c>
      <c r="J531" t="s">
        <v>27</v>
      </c>
      <c r="K531" t="s">
        <v>21</v>
      </c>
      <c r="L531" t="s">
        <v>17</v>
      </c>
    </row>
    <row r="532" spans="1:12" x14ac:dyDescent="0.25">
      <c r="A532" t="s">
        <v>1085</v>
      </c>
      <c r="B532">
        <v>1</v>
      </c>
      <c r="C532" s="1">
        <v>44566</v>
      </c>
      <c r="D532" s="2">
        <v>0.25069444444444444</v>
      </c>
      <c r="E532" t="s">
        <v>1086</v>
      </c>
      <c r="F532" t="s">
        <v>13</v>
      </c>
      <c r="G532" t="s">
        <v>13</v>
      </c>
      <c r="H532" t="s">
        <v>13</v>
      </c>
      <c r="I532" t="s">
        <v>14</v>
      </c>
      <c r="J532" t="s">
        <v>27</v>
      </c>
      <c r="K532" t="s">
        <v>21</v>
      </c>
      <c r="L532" t="s">
        <v>17</v>
      </c>
    </row>
    <row r="533" spans="1:12" x14ac:dyDescent="0.25">
      <c r="A533" t="s">
        <v>1087</v>
      </c>
      <c r="B533">
        <v>4</v>
      </c>
      <c r="C533" s="1">
        <v>44566</v>
      </c>
      <c r="D533" s="2">
        <v>9.6527777777777768E-2</v>
      </c>
      <c r="E533" t="s">
        <v>1088</v>
      </c>
      <c r="F533" t="s">
        <v>36</v>
      </c>
      <c r="G533" t="s">
        <v>36</v>
      </c>
      <c r="H533" t="s">
        <v>36</v>
      </c>
      <c r="I533" t="s">
        <v>13</v>
      </c>
      <c r="J533" t="s">
        <v>27</v>
      </c>
      <c r="K533" t="s">
        <v>16</v>
      </c>
      <c r="L533" t="s">
        <v>17</v>
      </c>
    </row>
    <row r="534" spans="1:12" x14ac:dyDescent="0.25">
      <c r="A534" t="s">
        <v>1089</v>
      </c>
      <c r="B534">
        <v>2</v>
      </c>
      <c r="C534" s="1">
        <v>44566</v>
      </c>
      <c r="D534" s="2">
        <v>0.65208333333333335</v>
      </c>
      <c r="E534" t="s">
        <v>1090</v>
      </c>
      <c r="F534" t="s">
        <v>13</v>
      </c>
      <c r="G534" t="s">
        <v>13</v>
      </c>
      <c r="H534" t="s">
        <v>13</v>
      </c>
      <c r="I534" t="s">
        <v>14</v>
      </c>
      <c r="J534" t="s">
        <v>27</v>
      </c>
      <c r="K534" t="s">
        <v>21</v>
      </c>
      <c r="L534" t="s">
        <v>17</v>
      </c>
    </row>
    <row r="535" spans="1:12" x14ac:dyDescent="0.25">
      <c r="A535" t="s">
        <v>1091</v>
      </c>
      <c r="B535">
        <v>1</v>
      </c>
      <c r="C535" s="1">
        <v>44566</v>
      </c>
      <c r="D535" s="2">
        <v>0.55902777777777779</v>
      </c>
      <c r="E535" t="s">
        <v>1092</v>
      </c>
      <c r="F535" t="s">
        <v>31</v>
      </c>
      <c r="G535" t="s">
        <v>31</v>
      </c>
      <c r="H535" t="s">
        <v>31</v>
      </c>
      <c r="I535" t="s">
        <v>32</v>
      </c>
      <c r="J535" t="s">
        <v>27</v>
      </c>
      <c r="K535" t="s">
        <v>21</v>
      </c>
      <c r="L535" t="s">
        <v>33</v>
      </c>
    </row>
    <row r="536" spans="1:12" x14ac:dyDescent="0.25">
      <c r="A536" t="s">
        <v>1093</v>
      </c>
      <c r="B536">
        <v>1</v>
      </c>
      <c r="C536" s="1">
        <v>44566</v>
      </c>
      <c r="D536" s="2">
        <v>0.48194444444444445</v>
      </c>
      <c r="E536" t="s">
        <v>1094</v>
      </c>
      <c r="F536" t="s">
        <v>13</v>
      </c>
      <c r="G536" t="s">
        <v>13</v>
      </c>
      <c r="H536" t="s">
        <v>13</v>
      </c>
      <c r="I536" t="s">
        <v>14</v>
      </c>
      <c r="J536" t="s">
        <v>27</v>
      </c>
      <c r="K536" t="s">
        <v>21</v>
      </c>
      <c r="L536" t="s">
        <v>17</v>
      </c>
    </row>
    <row r="537" spans="1:12" x14ac:dyDescent="0.25">
      <c r="A537" t="s">
        <v>1095</v>
      </c>
      <c r="B537">
        <v>1</v>
      </c>
      <c r="C537" s="1">
        <v>44566</v>
      </c>
      <c r="D537" s="2">
        <v>1.8749999999999999E-2</v>
      </c>
      <c r="E537" t="s">
        <v>1096</v>
      </c>
      <c r="F537" t="s">
        <v>13</v>
      </c>
      <c r="G537" t="s">
        <v>13</v>
      </c>
      <c r="H537" t="s">
        <v>13</v>
      </c>
      <c r="I537" t="s">
        <v>14</v>
      </c>
      <c r="J537" t="s">
        <v>27</v>
      </c>
      <c r="K537" t="s">
        <v>21</v>
      </c>
      <c r="L537" t="s">
        <v>17</v>
      </c>
    </row>
    <row r="538" spans="1:12" x14ac:dyDescent="0.25">
      <c r="A538" t="s">
        <v>1097</v>
      </c>
      <c r="B538">
        <v>1</v>
      </c>
      <c r="C538" s="1">
        <v>44565</v>
      </c>
      <c r="D538" s="2">
        <v>0.32847222222222222</v>
      </c>
      <c r="E538" t="s">
        <v>1098</v>
      </c>
      <c r="F538" t="s">
        <v>13</v>
      </c>
      <c r="G538" t="s">
        <v>13</v>
      </c>
      <c r="H538" t="s">
        <v>13</v>
      </c>
      <c r="I538" t="s">
        <v>14</v>
      </c>
      <c r="J538" t="s">
        <v>27</v>
      </c>
      <c r="K538" t="s">
        <v>21</v>
      </c>
      <c r="L538" t="s">
        <v>17</v>
      </c>
    </row>
    <row r="539" spans="1:12" x14ac:dyDescent="0.25">
      <c r="A539" t="s">
        <v>1099</v>
      </c>
      <c r="B539">
        <v>1</v>
      </c>
      <c r="C539" s="1">
        <v>44565</v>
      </c>
      <c r="D539" s="2">
        <v>0.97430555555555554</v>
      </c>
      <c r="E539" t="s">
        <v>1100</v>
      </c>
      <c r="F539" t="s">
        <v>13</v>
      </c>
      <c r="G539" t="s">
        <v>13</v>
      </c>
      <c r="H539" t="s">
        <v>13</v>
      </c>
      <c r="I539" t="s">
        <v>14</v>
      </c>
      <c r="J539" t="s">
        <v>27</v>
      </c>
      <c r="K539" t="s">
        <v>21</v>
      </c>
      <c r="L539" t="s">
        <v>17</v>
      </c>
    </row>
    <row r="540" spans="1:12" x14ac:dyDescent="0.25">
      <c r="A540" t="s">
        <v>1101</v>
      </c>
      <c r="B540">
        <v>4</v>
      </c>
      <c r="C540" s="1">
        <v>44565</v>
      </c>
      <c r="D540" s="2">
        <v>0.74930555555555556</v>
      </c>
      <c r="E540" t="s">
        <v>1102</v>
      </c>
      <c r="F540" t="s">
        <v>36</v>
      </c>
      <c r="G540" t="s">
        <v>36</v>
      </c>
      <c r="H540" t="s">
        <v>36</v>
      </c>
      <c r="I540" t="s">
        <v>13</v>
      </c>
      <c r="J540" t="s">
        <v>27</v>
      </c>
      <c r="K540" t="s">
        <v>28</v>
      </c>
      <c r="L540" t="s">
        <v>17</v>
      </c>
    </row>
    <row r="541" spans="1:12" x14ac:dyDescent="0.25">
      <c r="A541" t="s">
        <v>1103</v>
      </c>
      <c r="B541">
        <v>1</v>
      </c>
      <c r="C541" s="1">
        <v>44565</v>
      </c>
      <c r="D541" s="2">
        <v>0.57777777777777783</v>
      </c>
      <c r="E541" t="s">
        <v>1104</v>
      </c>
      <c r="F541" t="s">
        <v>13</v>
      </c>
      <c r="G541" t="s">
        <v>13</v>
      </c>
      <c r="H541" t="s">
        <v>13</v>
      </c>
      <c r="I541" t="s">
        <v>14</v>
      </c>
      <c r="J541" t="s">
        <v>27</v>
      </c>
      <c r="K541" t="s">
        <v>21</v>
      </c>
      <c r="L541" t="s">
        <v>17</v>
      </c>
    </row>
    <row r="542" spans="1:12" x14ac:dyDescent="0.25">
      <c r="A542" t="s">
        <v>1105</v>
      </c>
      <c r="B542">
        <v>1</v>
      </c>
      <c r="C542" s="1">
        <v>44564</v>
      </c>
      <c r="D542" s="2">
        <v>0.38194444444444442</v>
      </c>
      <c r="E542" t="s">
        <v>1106</v>
      </c>
      <c r="F542" t="s">
        <v>13</v>
      </c>
      <c r="G542" t="s">
        <v>13</v>
      </c>
      <c r="H542" t="s">
        <v>13</v>
      </c>
      <c r="I542" t="s">
        <v>14</v>
      </c>
      <c r="J542" t="s">
        <v>27</v>
      </c>
      <c r="K542" t="s">
        <v>21</v>
      </c>
      <c r="L542" t="s">
        <v>17</v>
      </c>
    </row>
    <row r="543" spans="1:12" x14ac:dyDescent="0.25">
      <c r="A543" t="s">
        <v>1107</v>
      </c>
      <c r="B543">
        <v>2</v>
      </c>
      <c r="C543" s="1">
        <v>44564</v>
      </c>
      <c r="D543" s="2">
        <v>0.3354166666666667</v>
      </c>
      <c r="E543" t="s">
        <v>1108</v>
      </c>
      <c r="F543" t="s">
        <v>31</v>
      </c>
      <c r="G543" t="s">
        <v>31</v>
      </c>
      <c r="H543" t="s">
        <v>31</v>
      </c>
      <c r="I543" t="s">
        <v>32</v>
      </c>
      <c r="J543" t="s">
        <v>27</v>
      </c>
      <c r="K543" t="s">
        <v>21</v>
      </c>
      <c r="L543" t="s">
        <v>33</v>
      </c>
    </row>
    <row r="544" spans="1:12" x14ac:dyDescent="0.25">
      <c r="A544" t="s">
        <v>1109</v>
      </c>
      <c r="B544">
        <v>3</v>
      </c>
      <c r="C544" s="1">
        <v>44564</v>
      </c>
      <c r="D544" s="2">
        <v>0.18819444444444444</v>
      </c>
      <c r="E544" t="s">
        <v>1110</v>
      </c>
      <c r="F544" t="s">
        <v>13</v>
      </c>
      <c r="G544" t="s">
        <v>13</v>
      </c>
      <c r="H544" t="s">
        <v>13</v>
      </c>
      <c r="I544" t="s">
        <v>14</v>
      </c>
      <c r="J544" t="s">
        <v>27</v>
      </c>
      <c r="K544" t="s">
        <v>21</v>
      </c>
      <c r="L544" t="s">
        <v>17</v>
      </c>
    </row>
    <row r="545" spans="1:12" x14ac:dyDescent="0.25">
      <c r="A545" t="s">
        <v>1111</v>
      </c>
      <c r="B545">
        <v>3</v>
      </c>
      <c r="C545" s="1">
        <v>44564</v>
      </c>
      <c r="D545" s="2">
        <v>8.9583333333333334E-2</v>
      </c>
      <c r="E545" t="s">
        <v>1112</v>
      </c>
      <c r="F545" t="s">
        <v>31</v>
      </c>
      <c r="G545" t="s">
        <v>31</v>
      </c>
      <c r="H545" t="s">
        <v>31</v>
      </c>
      <c r="I545" t="s">
        <v>32</v>
      </c>
      <c r="J545" t="s">
        <v>27</v>
      </c>
      <c r="K545" t="s">
        <v>21</v>
      </c>
      <c r="L545" t="s">
        <v>33</v>
      </c>
    </row>
    <row r="546" spans="1:12" x14ac:dyDescent="0.25">
      <c r="A546" t="s">
        <v>1113</v>
      </c>
      <c r="B546">
        <v>1</v>
      </c>
      <c r="C546" s="1">
        <v>44564</v>
      </c>
      <c r="D546" s="2">
        <v>0.91388888888888886</v>
      </c>
      <c r="E546" t="s">
        <v>1114</v>
      </c>
      <c r="F546" t="s">
        <v>13</v>
      </c>
      <c r="G546" t="s">
        <v>13</v>
      </c>
      <c r="H546" t="s">
        <v>13</v>
      </c>
      <c r="I546" t="s">
        <v>14</v>
      </c>
      <c r="J546" t="s">
        <v>27</v>
      </c>
      <c r="K546" t="s">
        <v>21</v>
      </c>
      <c r="L546" t="s">
        <v>17</v>
      </c>
    </row>
    <row r="547" spans="1:12" x14ac:dyDescent="0.25">
      <c r="A547" t="s">
        <v>1115</v>
      </c>
      <c r="B547">
        <v>3</v>
      </c>
      <c r="C547" s="1">
        <v>44564</v>
      </c>
      <c r="D547" s="2">
        <v>0.70763888888888893</v>
      </c>
      <c r="E547" t="s">
        <v>1116</v>
      </c>
      <c r="F547" t="s">
        <v>31</v>
      </c>
      <c r="G547" t="s">
        <v>31</v>
      </c>
      <c r="H547" t="s">
        <v>31</v>
      </c>
      <c r="I547" t="s">
        <v>32</v>
      </c>
      <c r="J547" t="s">
        <v>27</v>
      </c>
      <c r="K547" t="s">
        <v>21</v>
      </c>
      <c r="L547" t="s">
        <v>33</v>
      </c>
    </row>
    <row r="548" spans="1:12" x14ac:dyDescent="0.25">
      <c r="A548" t="s">
        <v>1117</v>
      </c>
      <c r="B548">
        <v>2</v>
      </c>
      <c r="C548" s="1">
        <v>44564</v>
      </c>
      <c r="D548" s="2">
        <v>0.62638888888888888</v>
      </c>
      <c r="E548" t="s">
        <v>1118</v>
      </c>
      <c r="F548" t="s">
        <v>13</v>
      </c>
      <c r="G548" t="s">
        <v>13</v>
      </c>
      <c r="H548" t="s">
        <v>13</v>
      </c>
      <c r="I548" t="s">
        <v>14</v>
      </c>
      <c r="J548" t="s">
        <v>27</v>
      </c>
      <c r="K548" t="s">
        <v>21</v>
      </c>
      <c r="L548" t="s">
        <v>17</v>
      </c>
    </row>
    <row r="549" spans="1:12" x14ac:dyDescent="0.25">
      <c r="A549" t="s">
        <v>1119</v>
      </c>
      <c r="B549">
        <v>1</v>
      </c>
      <c r="C549" s="1">
        <v>44564</v>
      </c>
      <c r="D549" s="2">
        <v>0.61111111111111105</v>
      </c>
      <c r="E549" t="s">
        <v>1120</v>
      </c>
      <c r="F549" t="s">
        <v>13</v>
      </c>
      <c r="G549" t="s">
        <v>13</v>
      </c>
      <c r="H549" t="s">
        <v>13</v>
      </c>
      <c r="I549" t="s">
        <v>14</v>
      </c>
      <c r="J549" t="s">
        <v>27</v>
      </c>
      <c r="K549" t="s">
        <v>28</v>
      </c>
      <c r="L549" t="s">
        <v>17</v>
      </c>
    </row>
    <row r="550" spans="1:12" x14ac:dyDescent="0.25">
      <c r="A550" t="s">
        <v>1121</v>
      </c>
      <c r="B550">
        <v>1</v>
      </c>
      <c r="C550" s="1">
        <v>44564</v>
      </c>
      <c r="D550" s="2">
        <v>0.61041666666666672</v>
      </c>
      <c r="E550" t="s">
        <v>1122</v>
      </c>
      <c r="F550" t="s">
        <v>13</v>
      </c>
      <c r="G550" t="s">
        <v>13</v>
      </c>
      <c r="H550" t="s">
        <v>13</v>
      </c>
      <c r="I550" t="s">
        <v>14</v>
      </c>
      <c r="J550" t="s">
        <v>27</v>
      </c>
      <c r="K550" t="s">
        <v>21</v>
      </c>
      <c r="L550" t="s">
        <v>17</v>
      </c>
    </row>
    <row r="551" spans="1:12" x14ac:dyDescent="0.25">
      <c r="A551" t="s">
        <v>1123</v>
      </c>
      <c r="B551">
        <v>1</v>
      </c>
      <c r="C551" s="1">
        <v>44564</v>
      </c>
      <c r="D551" s="2">
        <v>0.61041666666666672</v>
      </c>
      <c r="E551" t="s">
        <v>1124</v>
      </c>
      <c r="F551" t="s">
        <v>13</v>
      </c>
      <c r="G551" t="s">
        <v>13</v>
      </c>
      <c r="H551" t="s">
        <v>13</v>
      </c>
      <c r="I551" t="s">
        <v>14</v>
      </c>
      <c r="J551" t="s">
        <v>27</v>
      </c>
      <c r="K551" t="s">
        <v>16</v>
      </c>
      <c r="L551" t="s">
        <v>17</v>
      </c>
    </row>
    <row r="552" spans="1:12" x14ac:dyDescent="0.25">
      <c r="A552" t="s">
        <v>1125</v>
      </c>
      <c r="B552">
        <v>2</v>
      </c>
      <c r="C552" s="1">
        <v>44564</v>
      </c>
      <c r="D552" s="2">
        <v>0.56874999999999998</v>
      </c>
      <c r="E552" t="s">
        <v>1126</v>
      </c>
      <c r="F552" t="s">
        <v>13</v>
      </c>
      <c r="G552" t="s">
        <v>13</v>
      </c>
      <c r="H552" t="s">
        <v>13</v>
      </c>
      <c r="I552" t="s">
        <v>14</v>
      </c>
      <c r="J552" t="s">
        <v>27</v>
      </c>
      <c r="K552" t="s">
        <v>21</v>
      </c>
      <c r="L552" t="s">
        <v>17</v>
      </c>
    </row>
    <row r="553" spans="1:12" x14ac:dyDescent="0.25">
      <c r="A553" t="s">
        <v>1127</v>
      </c>
      <c r="B553">
        <v>1</v>
      </c>
      <c r="C553" s="1">
        <v>44564</v>
      </c>
      <c r="D553" s="2">
        <v>0.5541666666666667</v>
      </c>
      <c r="E553" t="s">
        <v>1128</v>
      </c>
      <c r="F553" t="s">
        <v>13</v>
      </c>
      <c r="G553" t="s">
        <v>13</v>
      </c>
      <c r="H553" t="s">
        <v>13</v>
      </c>
      <c r="I553" t="s">
        <v>14</v>
      </c>
      <c r="J553" t="s">
        <v>27</v>
      </c>
      <c r="K553" t="s">
        <v>21</v>
      </c>
      <c r="L553" t="s">
        <v>17</v>
      </c>
    </row>
    <row r="554" spans="1:12" x14ac:dyDescent="0.25">
      <c r="A554" t="s">
        <v>1129</v>
      </c>
      <c r="B554">
        <v>3</v>
      </c>
      <c r="C554" s="1">
        <v>44564</v>
      </c>
      <c r="D554" s="2">
        <v>0.55277777777777781</v>
      </c>
      <c r="E554" t="s">
        <v>1130</v>
      </c>
      <c r="F554" t="s">
        <v>13</v>
      </c>
      <c r="G554" t="s">
        <v>13</v>
      </c>
      <c r="H554" t="s">
        <v>13</v>
      </c>
      <c r="I554" t="s">
        <v>14</v>
      </c>
      <c r="J554" t="s">
        <v>27</v>
      </c>
      <c r="K554" t="s">
        <v>21</v>
      </c>
      <c r="L554" t="s">
        <v>17</v>
      </c>
    </row>
    <row r="555" spans="1:12" x14ac:dyDescent="0.25">
      <c r="A555" t="s">
        <v>1131</v>
      </c>
      <c r="B555">
        <v>1</v>
      </c>
      <c r="C555" s="1">
        <v>44563</v>
      </c>
      <c r="D555" s="2">
        <v>0.41111111111111115</v>
      </c>
      <c r="E555" t="s">
        <v>1132</v>
      </c>
      <c r="F555" t="s">
        <v>13</v>
      </c>
      <c r="G555" t="s">
        <v>13</v>
      </c>
      <c r="H555" t="s">
        <v>13</v>
      </c>
      <c r="I555" t="s">
        <v>14</v>
      </c>
      <c r="J555" t="s">
        <v>27</v>
      </c>
      <c r="K555" t="s">
        <v>21</v>
      </c>
      <c r="L555" t="s">
        <v>17</v>
      </c>
    </row>
    <row r="556" spans="1:12" x14ac:dyDescent="0.25">
      <c r="A556" t="s">
        <v>1133</v>
      </c>
      <c r="B556">
        <v>1</v>
      </c>
      <c r="C556" s="1">
        <v>44563</v>
      </c>
      <c r="D556" s="2">
        <v>0.39652777777777781</v>
      </c>
      <c r="E556" t="s">
        <v>1134</v>
      </c>
      <c r="F556" t="s">
        <v>13</v>
      </c>
      <c r="G556" t="s">
        <v>13</v>
      </c>
      <c r="H556" t="s">
        <v>13</v>
      </c>
      <c r="I556" t="s">
        <v>14</v>
      </c>
      <c r="J556" t="s">
        <v>27</v>
      </c>
      <c r="K556" t="s">
        <v>21</v>
      </c>
      <c r="L556" t="s">
        <v>17</v>
      </c>
    </row>
    <row r="557" spans="1:12" x14ac:dyDescent="0.25">
      <c r="A557" t="s">
        <v>1135</v>
      </c>
      <c r="B557">
        <v>2</v>
      </c>
      <c r="C557" s="1">
        <v>44563</v>
      </c>
      <c r="D557" s="2">
        <v>0.35555555555555557</v>
      </c>
      <c r="E557" t="s">
        <v>1136</v>
      </c>
      <c r="F557" t="s">
        <v>13</v>
      </c>
      <c r="G557" t="s">
        <v>13</v>
      </c>
      <c r="H557" t="s">
        <v>13</v>
      </c>
      <c r="I557" t="s">
        <v>14</v>
      </c>
      <c r="J557" t="s">
        <v>27</v>
      </c>
      <c r="K557" t="s">
        <v>28</v>
      </c>
      <c r="L557" t="s">
        <v>17</v>
      </c>
    </row>
    <row r="558" spans="1:12" x14ac:dyDescent="0.25">
      <c r="A558" t="s">
        <v>1137</v>
      </c>
      <c r="B558">
        <v>1</v>
      </c>
      <c r="C558" s="1">
        <v>44563</v>
      </c>
      <c r="D558" s="2">
        <v>0.3034722222222222</v>
      </c>
      <c r="E558" t="s">
        <v>1138</v>
      </c>
      <c r="F558" t="s">
        <v>31</v>
      </c>
      <c r="G558" t="s">
        <v>31</v>
      </c>
      <c r="H558" t="s">
        <v>31</v>
      </c>
      <c r="I558" t="s">
        <v>32</v>
      </c>
      <c r="J558" t="s">
        <v>27</v>
      </c>
      <c r="K558" t="s">
        <v>21</v>
      </c>
      <c r="L558" t="s">
        <v>33</v>
      </c>
    </row>
    <row r="559" spans="1:12" x14ac:dyDescent="0.25">
      <c r="A559" t="s">
        <v>1139</v>
      </c>
      <c r="B559">
        <v>4</v>
      </c>
      <c r="C559" s="1">
        <v>44563</v>
      </c>
      <c r="D559" s="2">
        <v>0.21180555555555555</v>
      </c>
      <c r="E559" t="s">
        <v>1140</v>
      </c>
      <c r="F559" t="s">
        <v>31</v>
      </c>
      <c r="G559" t="s">
        <v>31</v>
      </c>
      <c r="H559" t="s">
        <v>31</v>
      </c>
      <c r="I559" t="s">
        <v>32</v>
      </c>
      <c r="J559" t="s">
        <v>27</v>
      </c>
      <c r="K559" t="s">
        <v>21</v>
      </c>
      <c r="L559" t="s">
        <v>33</v>
      </c>
    </row>
    <row r="560" spans="1:12" x14ac:dyDescent="0.25">
      <c r="A560" t="s">
        <v>1141</v>
      </c>
      <c r="B560">
        <v>1</v>
      </c>
      <c r="C560" s="1">
        <v>44563</v>
      </c>
      <c r="D560" s="2">
        <v>0.71805555555555556</v>
      </c>
      <c r="E560" t="s">
        <v>1142</v>
      </c>
      <c r="F560" t="s">
        <v>13</v>
      </c>
      <c r="G560" t="s">
        <v>13</v>
      </c>
      <c r="H560" t="s">
        <v>13</v>
      </c>
      <c r="I560" t="s">
        <v>14</v>
      </c>
      <c r="J560" t="s">
        <v>27</v>
      </c>
      <c r="K560" t="s">
        <v>21</v>
      </c>
      <c r="L560" t="s">
        <v>17</v>
      </c>
    </row>
    <row r="561" spans="1:12" x14ac:dyDescent="0.25">
      <c r="A561" t="s">
        <v>1143</v>
      </c>
      <c r="B561">
        <v>1</v>
      </c>
      <c r="C561" s="1">
        <v>44563</v>
      </c>
      <c r="D561" s="2">
        <v>0.66111111111111109</v>
      </c>
      <c r="E561" t="s">
        <v>1144</v>
      </c>
      <c r="F561" t="s">
        <v>13</v>
      </c>
      <c r="G561" t="s">
        <v>13</v>
      </c>
      <c r="H561" t="s">
        <v>13</v>
      </c>
      <c r="I561" t="s">
        <v>14</v>
      </c>
      <c r="J561" t="s">
        <v>27</v>
      </c>
      <c r="K561" t="s">
        <v>21</v>
      </c>
      <c r="L561" t="s">
        <v>17</v>
      </c>
    </row>
    <row r="562" spans="1:12" x14ac:dyDescent="0.25">
      <c r="A562" t="s">
        <v>1145</v>
      </c>
      <c r="B562">
        <v>1</v>
      </c>
      <c r="C562" s="1">
        <v>44563</v>
      </c>
      <c r="D562" s="2">
        <v>0.58333333333333337</v>
      </c>
      <c r="E562" t="s">
        <v>1146</v>
      </c>
      <c r="F562" t="s">
        <v>13</v>
      </c>
      <c r="G562" t="s">
        <v>13</v>
      </c>
      <c r="H562" t="s">
        <v>13</v>
      </c>
      <c r="I562" t="s">
        <v>14</v>
      </c>
      <c r="J562" t="s">
        <v>27</v>
      </c>
      <c r="K562" t="s">
        <v>28</v>
      </c>
      <c r="L562" t="s">
        <v>17</v>
      </c>
    </row>
    <row r="563" spans="1:12" x14ac:dyDescent="0.25">
      <c r="A563" t="s">
        <v>1147</v>
      </c>
      <c r="B563">
        <v>1</v>
      </c>
      <c r="C563" s="1">
        <v>44563</v>
      </c>
      <c r="D563" s="2">
        <v>1.5972222222222224E-2</v>
      </c>
      <c r="E563" t="s">
        <v>1148</v>
      </c>
      <c r="F563" t="s">
        <v>13</v>
      </c>
      <c r="G563" t="s">
        <v>13</v>
      </c>
      <c r="H563" t="s">
        <v>13</v>
      </c>
      <c r="I563" t="s">
        <v>14</v>
      </c>
      <c r="J563" t="s">
        <v>27</v>
      </c>
      <c r="K563" t="s">
        <v>21</v>
      </c>
      <c r="L563" t="s">
        <v>17</v>
      </c>
    </row>
    <row r="564" spans="1:12" x14ac:dyDescent="0.25">
      <c r="A564" t="s">
        <v>1149</v>
      </c>
      <c r="B564">
        <v>4</v>
      </c>
      <c r="C564" s="1">
        <v>44562</v>
      </c>
      <c r="D564" s="2">
        <v>0.39374999999999999</v>
      </c>
      <c r="E564" t="s">
        <v>1150</v>
      </c>
      <c r="F564" t="s">
        <v>36</v>
      </c>
      <c r="G564" t="s">
        <v>36</v>
      </c>
      <c r="H564" t="s">
        <v>36</v>
      </c>
      <c r="I564" t="s">
        <v>13</v>
      </c>
      <c r="J564" t="s">
        <v>27</v>
      </c>
      <c r="K564" t="s">
        <v>21</v>
      </c>
      <c r="L564" t="s">
        <v>17</v>
      </c>
    </row>
    <row r="565" spans="1:12" x14ac:dyDescent="0.25">
      <c r="A565" t="s">
        <v>1151</v>
      </c>
      <c r="B565">
        <v>4</v>
      </c>
      <c r="C565" s="1">
        <v>44562</v>
      </c>
      <c r="D565" s="2">
        <v>0.29444444444444445</v>
      </c>
      <c r="E565" t="s">
        <v>1152</v>
      </c>
      <c r="F565" t="s">
        <v>36</v>
      </c>
      <c r="G565" t="s">
        <v>36</v>
      </c>
      <c r="H565" t="s">
        <v>36</v>
      </c>
      <c r="I565" t="s">
        <v>13</v>
      </c>
      <c r="J565" t="s">
        <v>27</v>
      </c>
      <c r="K565" t="s">
        <v>21</v>
      </c>
      <c r="L565" t="s">
        <v>17</v>
      </c>
    </row>
    <row r="566" spans="1:12" x14ac:dyDescent="0.25">
      <c r="A566" t="s">
        <v>1153</v>
      </c>
      <c r="B566">
        <v>1</v>
      </c>
      <c r="C566" s="1">
        <v>44562</v>
      </c>
      <c r="D566" s="2">
        <v>0.88541666666666663</v>
      </c>
      <c r="E566" t="s">
        <v>1154</v>
      </c>
      <c r="F566" t="s">
        <v>13</v>
      </c>
      <c r="G566" t="s">
        <v>13</v>
      </c>
      <c r="H566" t="s">
        <v>13</v>
      </c>
      <c r="I566" t="s">
        <v>14</v>
      </c>
      <c r="J566" t="s">
        <v>27</v>
      </c>
      <c r="K566" t="s">
        <v>21</v>
      </c>
      <c r="L566" t="s">
        <v>17</v>
      </c>
    </row>
    <row r="567" spans="1:12" x14ac:dyDescent="0.25">
      <c r="A567" t="s">
        <v>1155</v>
      </c>
      <c r="B567">
        <v>2</v>
      </c>
      <c r="C567" s="1">
        <v>44562</v>
      </c>
      <c r="D567" s="2">
        <v>4.3750000000000004E-2</v>
      </c>
      <c r="E567" t="s">
        <v>1156</v>
      </c>
      <c r="F567" t="s">
        <v>13</v>
      </c>
      <c r="G567" t="s">
        <v>13</v>
      </c>
      <c r="H567" t="s">
        <v>13</v>
      </c>
      <c r="I567" t="s">
        <v>14</v>
      </c>
      <c r="J567" t="s">
        <v>27</v>
      </c>
      <c r="K567" t="s">
        <v>21</v>
      </c>
      <c r="L567" t="s">
        <v>17</v>
      </c>
    </row>
    <row r="568" spans="1:12" x14ac:dyDescent="0.25">
      <c r="A568" t="s">
        <v>1157</v>
      </c>
      <c r="B568">
        <v>1</v>
      </c>
      <c r="C568" s="1">
        <v>44562</v>
      </c>
      <c r="D568" s="2">
        <v>0.66527777777777775</v>
      </c>
      <c r="E568" t="s">
        <v>1158</v>
      </c>
      <c r="F568" t="s">
        <v>13</v>
      </c>
      <c r="G568" t="s">
        <v>13</v>
      </c>
      <c r="H568" t="s">
        <v>13</v>
      </c>
      <c r="I568" t="s">
        <v>14</v>
      </c>
      <c r="J568" t="s">
        <v>27</v>
      </c>
      <c r="K568" t="s">
        <v>21</v>
      </c>
      <c r="L568" t="s">
        <v>17</v>
      </c>
    </row>
    <row r="569" spans="1:12" x14ac:dyDescent="0.25">
      <c r="A569" t="s">
        <v>1159</v>
      </c>
      <c r="B569">
        <v>1</v>
      </c>
      <c r="C569" s="1">
        <v>44562</v>
      </c>
      <c r="D569" s="2">
        <v>0.55902777777777779</v>
      </c>
      <c r="E569" t="s">
        <v>1160</v>
      </c>
      <c r="F569" t="s">
        <v>13</v>
      </c>
      <c r="G569" t="s">
        <v>13</v>
      </c>
      <c r="H569" t="s">
        <v>13</v>
      </c>
      <c r="I569" t="s">
        <v>14</v>
      </c>
      <c r="J569" t="s">
        <v>27</v>
      </c>
      <c r="K569" t="s">
        <v>21</v>
      </c>
      <c r="L569" t="s">
        <v>17</v>
      </c>
    </row>
    <row r="570" spans="1:12" x14ac:dyDescent="0.25">
      <c r="A570" t="s">
        <v>1161</v>
      </c>
      <c r="B570">
        <v>2</v>
      </c>
      <c r="C570" s="1">
        <v>44561</v>
      </c>
      <c r="D570" s="2">
        <v>0.71944444444444444</v>
      </c>
      <c r="E570" t="s">
        <v>1162</v>
      </c>
      <c r="F570" t="s">
        <v>31</v>
      </c>
      <c r="G570" t="s">
        <v>31</v>
      </c>
      <c r="H570" t="s">
        <v>31</v>
      </c>
      <c r="I570" t="s">
        <v>32</v>
      </c>
      <c r="J570" t="s">
        <v>27</v>
      </c>
      <c r="K570" t="s">
        <v>28</v>
      </c>
      <c r="L570" t="s">
        <v>33</v>
      </c>
    </row>
    <row r="571" spans="1:12" x14ac:dyDescent="0.25">
      <c r="A571" t="s">
        <v>1163</v>
      </c>
      <c r="B571">
        <v>2</v>
      </c>
      <c r="C571" s="1">
        <v>44560</v>
      </c>
      <c r="D571" s="2">
        <v>0.34375</v>
      </c>
      <c r="E571" t="s">
        <v>1164</v>
      </c>
      <c r="F571" t="s">
        <v>31</v>
      </c>
      <c r="G571" t="s">
        <v>31</v>
      </c>
      <c r="H571" t="s">
        <v>31</v>
      </c>
      <c r="I571" t="s">
        <v>32</v>
      </c>
      <c r="J571" t="s">
        <v>27</v>
      </c>
      <c r="K571" t="s">
        <v>21</v>
      </c>
      <c r="L571" t="s">
        <v>33</v>
      </c>
    </row>
    <row r="572" spans="1:12" x14ac:dyDescent="0.25">
      <c r="A572" t="s">
        <v>1165</v>
      </c>
      <c r="B572">
        <v>1</v>
      </c>
      <c r="C572" s="1">
        <v>44560</v>
      </c>
      <c r="D572" s="2">
        <v>0.31388888888888888</v>
      </c>
      <c r="E572" t="s">
        <v>1166</v>
      </c>
      <c r="F572" t="s">
        <v>13</v>
      </c>
      <c r="G572" t="s">
        <v>13</v>
      </c>
      <c r="H572" t="s">
        <v>13</v>
      </c>
      <c r="I572" t="s">
        <v>14</v>
      </c>
      <c r="J572" t="s">
        <v>27</v>
      </c>
      <c r="K572" t="s">
        <v>21</v>
      </c>
      <c r="L572" t="s">
        <v>17</v>
      </c>
    </row>
    <row r="573" spans="1:12" x14ac:dyDescent="0.25">
      <c r="A573" t="s">
        <v>1167</v>
      </c>
      <c r="B573">
        <v>1</v>
      </c>
      <c r="C573" s="1">
        <v>44560</v>
      </c>
      <c r="D573" s="2">
        <v>0.17013888888888887</v>
      </c>
      <c r="E573" t="s">
        <v>1168</v>
      </c>
      <c r="F573" t="s">
        <v>13</v>
      </c>
      <c r="G573" t="s">
        <v>13</v>
      </c>
      <c r="H573" t="s">
        <v>13</v>
      </c>
      <c r="I573" t="s">
        <v>14</v>
      </c>
      <c r="J573" t="s">
        <v>27</v>
      </c>
      <c r="K573" t="s">
        <v>21</v>
      </c>
      <c r="L573" t="s">
        <v>17</v>
      </c>
    </row>
    <row r="574" spans="1:12" x14ac:dyDescent="0.25">
      <c r="A574" t="s">
        <v>1169</v>
      </c>
      <c r="B574">
        <v>2</v>
      </c>
      <c r="C574" s="1">
        <v>44560</v>
      </c>
      <c r="D574" s="2">
        <v>0.48680555555555555</v>
      </c>
      <c r="E574" t="s">
        <v>1170</v>
      </c>
      <c r="F574" t="s">
        <v>31</v>
      </c>
      <c r="G574" t="s">
        <v>31</v>
      </c>
      <c r="H574" t="s">
        <v>31</v>
      </c>
      <c r="I574" t="s">
        <v>32</v>
      </c>
      <c r="J574" t="s">
        <v>27</v>
      </c>
      <c r="K574" t="s">
        <v>16</v>
      </c>
      <c r="L574" t="s">
        <v>33</v>
      </c>
    </row>
    <row r="575" spans="1:12" x14ac:dyDescent="0.25">
      <c r="A575" t="s">
        <v>1171</v>
      </c>
      <c r="B575">
        <v>5</v>
      </c>
      <c r="C575" s="1">
        <v>44559</v>
      </c>
      <c r="D575" s="2">
        <v>0.36736111111111108</v>
      </c>
      <c r="E575" t="s">
        <v>1172</v>
      </c>
      <c r="F575" t="s">
        <v>31</v>
      </c>
      <c r="G575" t="s">
        <v>31</v>
      </c>
      <c r="H575" t="s">
        <v>31</v>
      </c>
      <c r="I575" t="s">
        <v>32</v>
      </c>
      <c r="J575" t="s">
        <v>27</v>
      </c>
      <c r="K575" t="s">
        <v>21</v>
      </c>
      <c r="L575" t="s">
        <v>33</v>
      </c>
    </row>
    <row r="576" spans="1:12" x14ac:dyDescent="0.25">
      <c r="A576" t="s">
        <v>1173</v>
      </c>
      <c r="B576">
        <v>1</v>
      </c>
      <c r="C576" s="1">
        <v>44559</v>
      </c>
      <c r="D576" s="2">
        <v>0.35138888888888892</v>
      </c>
      <c r="E576" t="s">
        <v>1174</v>
      </c>
      <c r="F576" t="s">
        <v>31</v>
      </c>
      <c r="G576" t="s">
        <v>31</v>
      </c>
      <c r="H576" t="s">
        <v>31</v>
      </c>
      <c r="I576" t="s">
        <v>32</v>
      </c>
      <c r="J576" t="s">
        <v>27</v>
      </c>
      <c r="K576" t="s">
        <v>21</v>
      </c>
      <c r="L576" t="s">
        <v>33</v>
      </c>
    </row>
    <row r="577" spans="1:12" x14ac:dyDescent="0.25">
      <c r="A577" t="s">
        <v>1175</v>
      </c>
      <c r="B577">
        <v>1</v>
      </c>
      <c r="C577" s="1">
        <v>44559</v>
      </c>
      <c r="D577" s="2">
        <v>0.25763888888888892</v>
      </c>
      <c r="E577" t="s">
        <v>1176</v>
      </c>
      <c r="F577" t="s">
        <v>13</v>
      </c>
      <c r="G577" t="s">
        <v>13</v>
      </c>
      <c r="H577" t="s">
        <v>13</v>
      </c>
      <c r="I577" t="s">
        <v>14</v>
      </c>
      <c r="J577" t="s">
        <v>27</v>
      </c>
      <c r="K577" t="s">
        <v>21</v>
      </c>
      <c r="L577" t="s">
        <v>17</v>
      </c>
    </row>
    <row r="578" spans="1:12" x14ac:dyDescent="0.25">
      <c r="A578" t="s">
        <v>1177</v>
      </c>
      <c r="B578">
        <v>4</v>
      </c>
      <c r="C578" s="1">
        <v>44559</v>
      </c>
      <c r="D578" s="2">
        <v>0.25277777777777777</v>
      </c>
      <c r="E578" t="s">
        <v>1178</v>
      </c>
      <c r="F578" t="s">
        <v>27</v>
      </c>
      <c r="G578" t="s">
        <v>27</v>
      </c>
      <c r="H578" t="s">
        <v>27</v>
      </c>
      <c r="I578" t="s">
        <v>27</v>
      </c>
      <c r="J578" t="s">
        <v>27</v>
      </c>
      <c r="K578" t="s">
        <v>21</v>
      </c>
      <c r="L578" t="s">
        <v>33</v>
      </c>
    </row>
    <row r="579" spans="1:12" x14ac:dyDescent="0.25">
      <c r="A579" t="s">
        <v>1179</v>
      </c>
      <c r="B579">
        <v>2</v>
      </c>
      <c r="C579" s="1">
        <v>44559</v>
      </c>
      <c r="D579" s="2">
        <v>0.16111111111111112</v>
      </c>
      <c r="E579" t="s">
        <v>1180</v>
      </c>
      <c r="F579" t="s">
        <v>13</v>
      </c>
      <c r="G579" t="s">
        <v>13</v>
      </c>
      <c r="H579" t="s">
        <v>13</v>
      </c>
      <c r="I579" t="s">
        <v>14</v>
      </c>
      <c r="J579" t="s">
        <v>27</v>
      </c>
      <c r="K579" t="s">
        <v>16</v>
      </c>
      <c r="L579" t="s">
        <v>17</v>
      </c>
    </row>
    <row r="580" spans="1:12" x14ac:dyDescent="0.25">
      <c r="A580" t="s">
        <v>1181</v>
      </c>
      <c r="B580">
        <v>1</v>
      </c>
      <c r="C580" s="1">
        <v>44559</v>
      </c>
      <c r="D580" s="2">
        <v>0.15208333333333332</v>
      </c>
      <c r="E580" t="s">
        <v>1182</v>
      </c>
      <c r="F580" t="s">
        <v>31</v>
      </c>
      <c r="G580" t="s">
        <v>31</v>
      </c>
      <c r="H580" t="s">
        <v>31</v>
      </c>
      <c r="I580" t="s">
        <v>32</v>
      </c>
      <c r="J580" t="s">
        <v>27</v>
      </c>
      <c r="K580" t="s">
        <v>21</v>
      </c>
      <c r="L580" t="s">
        <v>33</v>
      </c>
    </row>
    <row r="581" spans="1:12" x14ac:dyDescent="0.25">
      <c r="A581" t="s">
        <v>1183</v>
      </c>
      <c r="B581">
        <v>1</v>
      </c>
      <c r="C581" s="1">
        <v>44559</v>
      </c>
      <c r="D581" s="2">
        <v>0.8618055555555556</v>
      </c>
      <c r="E581" t="s">
        <v>1184</v>
      </c>
      <c r="F581" t="s">
        <v>13</v>
      </c>
      <c r="G581" t="s">
        <v>13</v>
      </c>
      <c r="H581" t="s">
        <v>13</v>
      </c>
      <c r="I581" t="s">
        <v>14</v>
      </c>
      <c r="J581" t="s">
        <v>27</v>
      </c>
      <c r="K581" t="s">
        <v>16</v>
      </c>
      <c r="L581" t="s">
        <v>17</v>
      </c>
    </row>
    <row r="582" spans="1:12" x14ac:dyDescent="0.25">
      <c r="A582" t="s">
        <v>1185</v>
      </c>
      <c r="B582">
        <v>1</v>
      </c>
      <c r="C582" s="1">
        <v>44559</v>
      </c>
      <c r="D582" s="2">
        <v>0.65694444444444444</v>
      </c>
      <c r="E582" t="s">
        <v>1186</v>
      </c>
      <c r="F582" t="s">
        <v>13</v>
      </c>
      <c r="G582" t="s">
        <v>13</v>
      </c>
      <c r="H582" t="s">
        <v>13</v>
      </c>
      <c r="I582" t="s">
        <v>14</v>
      </c>
      <c r="J582" t="s">
        <v>27</v>
      </c>
      <c r="K582" t="s">
        <v>21</v>
      </c>
      <c r="L582" t="s">
        <v>17</v>
      </c>
    </row>
    <row r="583" spans="1:12" x14ac:dyDescent="0.25">
      <c r="A583" t="s">
        <v>1187</v>
      </c>
      <c r="B583">
        <v>1</v>
      </c>
      <c r="C583" s="1">
        <v>44559</v>
      </c>
      <c r="D583" s="2">
        <v>0.57638888888888895</v>
      </c>
      <c r="E583" t="s">
        <v>1188</v>
      </c>
      <c r="F583" t="s">
        <v>13</v>
      </c>
      <c r="G583" t="s">
        <v>13</v>
      </c>
      <c r="H583" t="s">
        <v>13</v>
      </c>
      <c r="I583" t="s">
        <v>14</v>
      </c>
      <c r="J583" t="s">
        <v>27</v>
      </c>
      <c r="K583" t="s">
        <v>21</v>
      </c>
      <c r="L583" t="s">
        <v>17</v>
      </c>
    </row>
    <row r="584" spans="1:12" x14ac:dyDescent="0.25">
      <c r="A584" t="s">
        <v>1189</v>
      </c>
      <c r="B584">
        <v>1</v>
      </c>
      <c r="C584" s="1">
        <v>44559</v>
      </c>
      <c r="D584" s="2">
        <v>0.52986111111111112</v>
      </c>
      <c r="E584" t="s">
        <v>1190</v>
      </c>
      <c r="F584" t="s">
        <v>13</v>
      </c>
      <c r="G584" t="s">
        <v>13</v>
      </c>
      <c r="H584" t="s">
        <v>13</v>
      </c>
      <c r="I584" t="s">
        <v>14</v>
      </c>
      <c r="J584" t="s">
        <v>27</v>
      </c>
      <c r="K584" t="s">
        <v>21</v>
      </c>
      <c r="L584" t="s">
        <v>17</v>
      </c>
    </row>
    <row r="585" spans="1:12" x14ac:dyDescent="0.25">
      <c r="A585" t="s">
        <v>1191</v>
      </c>
      <c r="B585">
        <v>1</v>
      </c>
      <c r="C585" s="1">
        <v>44559</v>
      </c>
      <c r="D585" s="2">
        <v>0.51111111111111118</v>
      </c>
      <c r="E585" t="s">
        <v>1192</v>
      </c>
      <c r="F585" t="s">
        <v>13</v>
      </c>
      <c r="G585" t="s">
        <v>13</v>
      </c>
      <c r="H585" t="s">
        <v>13</v>
      </c>
      <c r="I585" t="s">
        <v>14</v>
      </c>
      <c r="J585" t="s">
        <v>27</v>
      </c>
      <c r="K585" t="s">
        <v>21</v>
      </c>
      <c r="L585" t="s">
        <v>17</v>
      </c>
    </row>
    <row r="586" spans="1:12" x14ac:dyDescent="0.25">
      <c r="A586" t="s">
        <v>1193</v>
      </c>
      <c r="B586">
        <v>2</v>
      </c>
      <c r="C586" s="1">
        <v>44559</v>
      </c>
      <c r="D586" s="2">
        <v>0.48194444444444445</v>
      </c>
      <c r="E586" t="s">
        <v>1194</v>
      </c>
      <c r="F586" t="s">
        <v>13</v>
      </c>
      <c r="G586" t="s">
        <v>13</v>
      </c>
      <c r="H586" t="s">
        <v>13</v>
      </c>
      <c r="I586" t="s">
        <v>14</v>
      </c>
      <c r="J586" t="s">
        <v>27</v>
      </c>
      <c r="K586" t="s">
        <v>28</v>
      </c>
      <c r="L586" t="s">
        <v>17</v>
      </c>
    </row>
    <row r="587" spans="1:12" x14ac:dyDescent="0.25">
      <c r="A587" t="s">
        <v>1195</v>
      </c>
      <c r="B587">
        <v>1</v>
      </c>
      <c r="C587" s="1">
        <v>44559</v>
      </c>
      <c r="D587" s="2">
        <v>0.4777777777777778</v>
      </c>
      <c r="E587" t="s">
        <v>1196</v>
      </c>
      <c r="F587" t="s">
        <v>13</v>
      </c>
      <c r="G587" t="s">
        <v>13</v>
      </c>
      <c r="H587" t="s">
        <v>13</v>
      </c>
      <c r="I587" t="s">
        <v>14</v>
      </c>
      <c r="J587" t="s">
        <v>27</v>
      </c>
      <c r="K587" t="s">
        <v>21</v>
      </c>
      <c r="L587" t="s">
        <v>17</v>
      </c>
    </row>
    <row r="588" spans="1:12" x14ac:dyDescent="0.25">
      <c r="A588" t="s">
        <v>1197</v>
      </c>
      <c r="B588">
        <v>1</v>
      </c>
      <c r="C588" s="1">
        <v>44558</v>
      </c>
      <c r="D588" s="2">
        <v>0.31875000000000003</v>
      </c>
      <c r="E588" t="s">
        <v>1198</v>
      </c>
      <c r="F588" t="s">
        <v>13</v>
      </c>
      <c r="G588" t="s">
        <v>13</v>
      </c>
      <c r="H588" t="s">
        <v>13</v>
      </c>
      <c r="I588" t="s">
        <v>14</v>
      </c>
      <c r="J588" t="s">
        <v>27</v>
      </c>
      <c r="K588" t="s">
        <v>21</v>
      </c>
      <c r="L588" t="s">
        <v>17</v>
      </c>
    </row>
    <row r="589" spans="1:12" x14ac:dyDescent="0.25">
      <c r="A589" t="s">
        <v>1199</v>
      </c>
      <c r="B589">
        <v>2</v>
      </c>
      <c r="C589" s="1">
        <v>44558</v>
      </c>
      <c r="D589" s="2">
        <v>0.24791666666666667</v>
      </c>
      <c r="E589" t="s">
        <v>1200</v>
      </c>
      <c r="F589" t="s">
        <v>31</v>
      </c>
      <c r="G589" t="s">
        <v>31</v>
      </c>
      <c r="H589" t="s">
        <v>31</v>
      </c>
      <c r="I589" t="s">
        <v>32</v>
      </c>
      <c r="J589" t="s">
        <v>27</v>
      </c>
      <c r="K589" t="s">
        <v>28</v>
      </c>
      <c r="L589" t="s">
        <v>33</v>
      </c>
    </row>
    <row r="590" spans="1:12" x14ac:dyDescent="0.25">
      <c r="A590" t="s">
        <v>1201</v>
      </c>
      <c r="B590">
        <v>2</v>
      </c>
      <c r="C590" s="1">
        <v>44558</v>
      </c>
      <c r="D590" s="2">
        <v>0.14583333333333334</v>
      </c>
      <c r="E590" t="s">
        <v>1202</v>
      </c>
      <c r="F590" t="s">
        <v>13</v>
      </c>
      <c r="G590" t="s">
        <v>13</v>
      </c>
      <c r="H590" t="s">
        <v>13</v>
      </c>
      <c r="I590" t="s">
        <v>14</v>
      </c>
      <c r="J590" t="s">
        <v>27</v>
      </c>
      <c r="K590" t="s">
        <v>16</v>
      </c>
      <c r="L590" t="s">
        <v>17</v>
      </c>
    </row>
    <row r="591" spans="1:12" x14ac:dyDescent="0.25">
      <c r="A591" t="s">
        <v>1203</v>
      </c>
      <c r="B591">
        <v>1</v>
      </c>
      <c r="C591" s="1">
        <v>44558</v>
      </c>
      <c r="D591" s="2">
        <v>0.8847222222222223</v>
      </c>
      <c r="E591" t="s">
        <v>1204</v>
      </c>
      <c r="F591" t="s">
        <v>13</v>
      </c>
      <c r="G591" t="s">
        <v>13</v>
      </c>
      <c r="H591" t="s">
        <v>13</v>
      </c>
      <c r="I591" t="s">
        <v>14</v>
      </c>
      <c r="J591" t="s">
        <v>27</v>
      </c>
      <c r="K591" t="s">
        <v>28</v>
      </c>
      <c r="L591" t="s">
        <v>17</v>
      </c>
    </row>
    <row r="592" spans="1:12" x14ac:dyDescent="0.25">
      <c r="A592" t="s">
        <v>1205</v>
      </c>
      <c r="B592">
        <v>3</v>
      </c>
      <c r="C592" s="1">
        <v>44558</v>
      </c>
      <c r="D592" s="2">
        <v>5.6250000000000001E-2</v>
      </c>
      <c r="E592" t="s">
        <v>1206</v>
      </c>
      <c r="F592" t="s">
        <v>13</v>
      </c>
      <c r="G592" t="s">
        <v>13</v>
      </c>
      <c r="H592" t="s">
        <v>13</v>
      </c>
      <c r="I592" t="s">
        <v>14</v>
      </c>
      <c r="J592" t="s">
        <v>27</v>
      </c>
      <c r="K592" t="s">
        <v>16</v>
      </c>
      <c r="L592" t="s">
        <v>17</v>
      </c>
    </row>
    <row r="593" spans="1:12" x14ac:dyDescent="0.25">
      <c r="A593" t="s">
        <v>1207</v>
      </c>
      <c r="B593">
        <v>3</v>
      </c>
      <c r="C593" s="1">
        <v>44558</v>
      </c>
      <c r="D593" s="2">
        <v>5.347222222222222E-2</v>
      </c>
      <c r="E593" t="s">
        <v>1208</v>
      </c>
      <c r="F593" t="s">
        <v>31</v>
      </c>
      <c r="G593" t="s">
        <v>31</v>
      </c>
      <c r="H593" t="s">
        <v>31</v>
      </c>
      <c r="I593" t="s">
        <v>32</v>
      </c>
      <c r="J593" t="s">
        <v>27</v>
      </c>
      <c r="K593" t="s">
        <v>21</v>
      </c>
      <c r="L593" t="s">
        <v>33</v>
      </c>
    </row>
    <row r="594" spans="1:12" x14ac:dyDescent="0.25">
      <c r="A594" t="s">
        <v>1209</v>
      </c>
      <c r="B594">
        <v>3</v>
      </c>
      <c r="C594" s="1">
        <v>44558</v>
      </c>
      <c r="D594" s="2">
        <v>0.68472222222222223</v>
      </c>
      <c r="E594" t="s">
        <v>1210</v>
      </c>
      <c r="F594" t="s">
        <v>31</v>
      </c>
      <c r="G594" t="s">
        <v>31</v>
      </c>
      <c r="H594" t="s">
        <v>31</v>
      </c>
      <c r="I594" t="s">
        <v>32</v>
      </c>
      <c r="J594" t="s">
        <v>27</v>
      </c>
      <c r="K594" t="s">
        <v>21</v>
      </c>
      <c r="L594" t="s">
        <v>33</v>
      </c>
    </row>
    <row r="595" spans="1:12" x14ac:dyDescent="0.25">
      <c r="A595" t="s">
        <v>1211</v>
      </c>
      <c r="B595">
        <v>1</v>
      </c>
      <c r="C595" s="1">
        <v>44558</v>
      </c>
      <c r="D595" s="2">
        <v>0.65972222222222221</v>
      </c>
      <c r="E595" t="s">
        <v>1212</v>
      </c>
      <c r="F595" t="s">
        <v>31</v>
      </c>
      <c r="G595" t="s">
        <v>31</v>
      </c>
      <c r="H595" t="s">
        <v>31</v>
      </c>
      <c r="I595" t="s">
        <v>32</v>
      </c>
      <c r="J595" t="s">
        <v>27</v>
      </c>
      <c r="K595" t="s">
        <v>28</v>
      </c>
      <c r="L595" t="s">
        <v>33</v>
      </c>
    </row>
    <row r="596" spans="1:12" x14ac:dyDescent="0.25">
      <c r="A596" t="s">
        <v>1213</v>
      </c>
      <c r="B596">
        <v>1</v>
      </c>
      <c r="C596" s="1">
        <v>44558</v>
      </c>
      <c r="D596" s="2">
        <v>0.6381944444444444</v>
      </c>
      <c r="E596" t="s">
        <v>1214</v>
      </c>
      <c r="F596" t="s">
        <v>31</v>
      </c>
      <c r="G596" t="s">
        <v>31</v>
      </c>
      <c r="H596" t="s">
        <v>31</v>
      </c>
      <c r="I596" t="s">
        <v>32</v>
      </c>
      <c r="J596" t="s">
        <v>27</v>
      </c>
      <c r="K596" t="s">
        <v>28</v>
      </c>
      <c r="L596" t="s">
        <v>33</v>
      </c>
    </row>
    <row r="597" spans="1:12" x14ac:dyDescent="0.25">
      <c r="A597" t="s">
        <v>1215</v>
      </c>
      <c r="B597">
        <v>4</v>
      </c>
      <c r="C597" s="1">
        <v>44557</v>
      </c>
      <c r="D597" s="2">
        <v>0.37152777777777773</v>
      </c>
      <c r="E597" t="s">
        <v>1216</v>
      </c>
      <c r="F597" t="s">
        <v>31</v>
      </c>
      <c r="G597" t="s">
        <v>31</v>
      </c>
      <c r="H597" t="s">
        <v>31</v>
      </c>
      <c r="I597" t="s">
        <v>32</v>
      </c>
      <c r="J597" t="s">
        <v>27</v>
      </c>
      <c r="K597" t="s">
        <v>21</v>
      </c>
      <c r="L597" t="s">
        <v>33</v>
      </c>
    </row>
    <row r="598" spans="1:12" x14ac:dyDescent="0.25">
      <c r="A598" t="s">
        <v>1217</v>
      </c>
      <c r="B598">
        <v>1</v>
      </c>
      <c r="C598" s="1">
        <v>44557</v>
      </c>
      <c r="D598" s="2">
        <v>0.19236111111111112</v>
      </c>
      <c r="E598" t="s">
        <v>1218</v>
      </c>
      <c r="F598" t="s">
        <v>31</v>
      </c>
      <c r="G598" t="s">
        <v>31</v>
      </c>
      <c r="H598" t="s">
        <v>31</v>
      </c>
      <c r="I598" t="s">
        <v>32</v>
      </c>
      <c r="J598" t="s">
        <v>27</v>
      </c>
      <c r="K598" t="s">
        <v>21</v>
      </c>
      <c r="L598" t="s">
        <v>33</v>
      </c>
    </row>
    <row r="599" spans="1:12" x14ac:dyDescent="0.25">
      <c r="A599" t="s">
        <v>1219</v>
      </c>
      <c r="B599">
        <v>3</v>
      </c>
      <c r="C599" s="1">
        <v>44557</v>
      </c>
      <c r="D599" s="2">
        <v>9.5833333333333326E-2</v>
      </c>
      <c r="E599" t="s">
        <v>1220</v>
      </c>
      <c r="F599" t="s">
        <v>31</v>
      </c>
      <c r="G599" t="s">
        <v>31</v>
      </c>
      <c r="H599" t="s">
        <v>31</v>
      </c>
      <c r="I599" t="s">
        <v>32</v>
      </c>
      <c r="J599" t="s">
        <v>27</v>
      </c>
      <c r="K599" t="s">
        <v>28</v>
      </c>
      <c r="L599" t="s">
        <v>33</v>
      </c>
    </row>
    <row r="600" spans="1:12" x14ac:dyDescent="0.25">
      <c r="A600" t="s">
        <v>1221</v>
      </c>
      <c r="B600">
        <v>1</v>
      </c>
      <c r="C600" s="1">
        <v>44557</v>
      </c>
      <c r="D600" s="2">
        <v>0.57847222222222217</v>
      </c>
      <c r="E600" t="s">
        <v>1222</v>
      </c>
      <c r="F600" t="s">
        <v>13</v>
      </c>
      <c r="G600" t="s">
        <v>13</v>
      </c>
      <c r="H600" t="s">
        <v>13</v>
      </c>
      <c r="I600" t="s">
        <v>14</v>
      </c>
      <c r="J600" t="s">
        <v>27</v>
      </c>
      <c r="K600" t="s">
        <v>21</v>
      </c>
      <c r="L600" t="s">
        <v>17</v>
      </c>
    </row>
    <row r="601" spans="1:12" x14ac:dyDescent="0.25">
      <c r="A601" t="s">
        <v>1223</v>
      </c>
      <c r="B601">
        <v>2</v>
      </c>
      <c r="C601" s="1">
        <v>44557</v>
      </c>
      <c r="D601" s="2">
        <v>0.55069444444444449</v>
      </c>
      <c r="E601" t="s">
        <v>1224</v>
      </c>
      <c r="F601" t="s">
        <v>31</v>
      </c>
      <c r="G601" t="s">
        <v>31</v>
      </c>
      <c r="H601" t="s">
        <v>31</v>
      </c>
      <c r="I601" t="s">
        <v>32</v>
      </c>
      <c r="J601" t="s">
        <v>27</v>
      </c>
      <c r="K601" t="s">
        <v>28</v>
      </c>
      <c r="L601" t="s">
        <v>33</v>
      </c>
    </row>
    <row r="602" spans="1:12" x14ac:dyDescent="0.25">
      <c r="A602" t="s">
        <v>1225</v>
      </c>
      <c r="B602">
        <v>5</v>
      </c>
      <c r="C602" s="1">
        <v>44557</v>
      </c>
      <c r="D602" s="2">
        <v>1.3194444444444444E-2</v>
      </c>
      <c r="E602" t="s">
        <v>1226</v>
      </c>
      <c r="F602" t="s">
        <v>36</v>
      </c>
      <c r="G602" t="s">
        <v>36</v>
      </c>
      <c r="H602" t="s">
        <v>36</v>
      </c>
      <c r="I602" t="s">
        <v>13</v>
      </c>
      <c r="J602" t="s">
        <v>27</v>
      </c>
      <c r="K602" t="s">
        <v>28</v>
      </c>
      <c r="L602" t="s">
        <v>17</v>
      </c>
    </row>
    <row r="603" spans="1:12" x14ac:dyDescent="0.25">
      <c r="A603" t="s">
        <v>1227</v>
      </c>
      <c r="B603">
        <v>1</v>
      </c>
      <c r="C603" s="1">
        <v>44556</v>
      </c>
      <c r="D603" s="2">
        <v>0.37083333333333335</v>
      </c>
      <c r="E603" t="s">
        <v>1228</v>
      </c>
      <c r="F603" t="s">
        <v>13</v>
      </c>
      <c r="G603" t="s">
        <v>13</v>
      </c>
      <c r="H603" t="s">
        <v>13</v>
      </c>
      <c r="I603" t="s">
        <v>14</v>
      </c>
      <c r="J603" t="s">
        <v>27</v>
      </c>
      <c r="K603" t="s">
        <v>21</v>
      </c>
      <c r="L603" t="s">
        <v>17</v>
      </c>
    </row>
    <row r="604" spans="1:12" x14ac:dyDescent="0.25">
      <c r="A604" t="s">
        <v>1229</v>
      </c>
      <c r="B604">
        <v>1</v>
      </c>
      <c r="C604" s="1">
        <v>44556</v>
      </c>
      <c r="D604" s="2">
        <v>0.34166666666666662</v>
      </c>
      <c r="E604" t="s">
        <v>1230</v>
      </c>
      <c r="F604" t="s">
        <v>13</v>
      </c>
      <c r="G604" t="s">
        <v>13</v>
      </c>
      <c r="H604" t="s">
        <v>13</v>
      </c>
      <c r="I604" t="s">
        <v>14</v>
      </c>
      <c r="J604" t="s">
        <v>27</v>
      </c>
      <c r="K604" t="s">
        <v>28</v>
      </c>
      <c r="L604" t="s">
        <v>17</v>
      </c>
    </row>
    <row r="605" spans="1:12" x14ac:dyDescent="0.25">
      <c r="A605" t="s">
        <v>1231</v>
      </c>
      <c r="B605">
        <v>1</v>
      </c>
      <c r="C605" s="1">
        <v>44556</v>
      </c>
      <c r="D605" s="2">
        <v>0.3125</v>
      </c>
      <c r="E605" t="s">
        <v>1232</v>
      </c>
      <c r="F605" t="s">
        <v>13</v>
      </c>
      <c r="G605" t="s">
        <v>13</v>
      </c>
      <c r="H605" t="s">
        <v>13</v>
      </c>
      <c r="I605" t="s">
        <v>14</v>
      </c>
      <c r="J605" t="s">
        <v>27</v>
      </c>
      <c r="K605" t="s">
        <v>21</v>
      </c>
      <c r="L605" t="s">
        <v>17</v>
      </c>
    </row>
    <row r="606" spans="1:12" x14ac:dyDescent="0.25">
      <c r="A606" t="s">
        <v>1233</v>
      </c>
      <c r="B606">
        <v>1</v>
      </c>
      <c r="C606" s="1">
        <v>44556</v>
      </c>
      <c r="D606" s="2">
        <v>9.0972222222222218E-2</v>
      </c>
      <c r="E606" t="s">
        <v>1234</v>
      </c>
      <c r="F606" t="s">
        <v>13</v>
      </c>
      <c r="G606" t="s">
        <v>13</v>
      </c>
      <c r="H606" t="s">
        <v>13</v>
      </c>
      <c r="I606" t="s">
        <v>14</v>
      </c>
      <c r="J606" t="s">
        <v>27</v>
      </c>
      <c r="K606" t="s">
        <v>21</v>
      </c>
      <c r="L606" t="s">
        <v>17</v>
      </c>
    </row>
    <row r="607" spans="1:12" x14ac:dyDescent="0.25">
      <c r="A607" t="s">
        <v>1235</v>
      </c>
      <c r="B607">
        <v>3</v>
      </c>
      <c r="C607" s="1">
        <v>44556</v>
      </c>
      <c r="D607" s="2">
        <v>0.97499999999999998</v>
      </c>
      <c r="E607" t="s">
        <v>1236</v>
      </c>
      <c r="F607" t="s">
        <v>31</v>
      </c>
      <c r="G607" t="s">
        <v>31</v>
      </c>
      <c r="H607" t="s">
        <v>31</v>
      </c>
      <c r="I607" t="s">
        <v>32</v>
      </c>
      <c r="J607" t="s">
        <v>27</v>
      </c>
      <c r="K607" t="s">
        <v>16</v>
      </c>
      <c r="L607" t="s">
        <v>33</v>
      </c>
    </row>
    <row r="608" spans="1:12" x14ac:dyDescent="0.25">
      <c r="A608" t="s">
        <v>1237</v>
      </c>
      <c r="B608">
        <v>1</v>
      </c>
      <c r="C608" s="1">
        <v>44556</v>
      </c>
      <c r="D608" s="2">
        <v>0.94930555555555562</v>
      </c>
      <c r="E608" t="s">
        <v>1238</v>
      </c>
      <c r="F608" t="s">
        <v>13</v>
      </c>
      <c r="G608" t="s">
        <v>13</v>
      </c>
      <c r="H608" t="s">
        <v>13</v>
      </c>
      <c r="I608" t="s">
        <v>14</v>
      </c>
      <c r="J608" t="s">
        <v>27</v>
      </c>
      <c r="K608" t="s">
        <v>21</v>
      </c>
      <c r="L608" t="s">
        <v>17</v>
      </c>
    </row>
    <row r="609" spans="1:12" x14ac:dyDescent="0.25">
      <c r="A609" t="s">
        <v>1239</v>
      </c>
      <c r="B609">
        <v>1</v>
      </c>
      <c r="C609" s="1">
        <v>44556</v>
      </c>
      <c r="D609" s="2">
        <v>0.87638888888888899</v>
      </c>
      <c r="E609" t="s">
        <v>1240</v>
      </c>
      <c r="F609" t="s">
        <v>13</v>
      </c>
      <c r="G609" t="s">
        <v>13</v>
      </c>
      <c r="H609" t="s">
        <v>13</v>
      </c>
      <c r="I609" t="s">
        <v>14</v>
      </c>
      <c r="J609" t="s">
        <v>27</v>
      </c>
      <c r="K609" t="s">
        <v>21</v>
      </c>
      <c r="L609" t="s">
        <v>17</v>
      </c>
    </row>
    <row r="610" spans="1:12" x14ac:dyDescent="0.25">
      <c r="A610" t="s">
        <v>1241</v>
      </c>
      <c r="B610">
        <v>4</v>
      </c>
      <c r="C610" s="1">
        <v>44556</v>
      </c>
      <c r="D610" s="2">
        <v>7.8472222222222221E-2</v>
      </c>
      <c r="E610" t="s">
        <v>1242</v>
      </c>
      <c r="F610" t="s">
        <v>31</v>
      </c>
      <c r="G610" t="s">
        <v>31</v>
      </c>
      <c r="H610" t="s">
        <v>31</v>
      </c>
      <c r="I610" t="s">
        <v>32</v>
      </c>
      <c r="J610" t="s">
        <v>27</v>
      </c>
      <c r="K610" t="s">
        <v>21</v>
      </c>
      <c r="L610" t="s">
        <v>33</v>
      </c>
    </row>
    <row r="611" spans="1:12" x14ac:dyDescent="0.25">
      <c r="A611" t="s">
        <v>1243</v>
      </c>
      <c r="B611">
        <v>1</v>
      </c>
      <c r="C611" s="1">
        <v>44556</v>
      </c>
      <c r="D611" s="2">
        <v>0.71597222222222223</v>
      </c>
      <c r="E611" t="s">
        <v>1244</v>
      </c>
      <c r="F611" t="s">
        <v>13</v>
      </c>
      <c r="G611" t="s">
        <v>13</v>
      </c>
      <c r="H611" t="s">
        <v>13</v>
      </c>
      <c r="I611" t="s">
        <v>14</v>
      </c>
      <c r="J611" t="s">
        <v>27</v>
      </c>
      <c r="K611" t="s">
        <v>16</v>
      </c>
      <c r="L611" t="s">
        <v>17</v>
      </c>
    </row>
    <row r="612" spans="1:12" x14ac:dyDescent="0.25">
      <c r="A612" t="s">
        <v>1245</v>
      </c>
      <c r="B612">
        <v>1</v>
      </c>
      <c r="C612" s="1">
        <v>44556</v>
      </c>
      <c r="D612" s="2">
        <v>0.69861111111111107</v>
      </c>
      <c r="E612" t="s">
        <v>1246</v>
      </c>
      <c r="F612" t="s">
        <v>13</v>
      </c>
      <c r="G612" t="s">
        <v>13</v>
      </c>
      <c r="H612" t="s">
        <v>13</v>
      </c>
      <c r="I612" t="s">
        <v>14</v>
      </c>
      <c r="J612" t="s">
        <v>27</v>
      </c>
      <c r="K612" t="s">
        <v>28</v>
      </c>
      <c r="L612" t="s">
        <v>17</v>
      </c>
    </row>
    <row r="613" spans="1:12" x14ac:dyDescent="0.25">
      <c r="A613" t="s">
        <v>1247</v>
      </c>
      <c r="B613">
        <v>1</v>
      </c>
      <c r="C613" s="1">
        <v>44556</v>
      </c>
      <c r="D613" s="2">
        <v>0.69374999999999998</v>
      </c>
      <c r="E613" t="s">
        <v>1248</v>
      </c>
      <c r="F613" t="s">
        <v>31</v>
      </c>
      <c r="G613" t="s">
        <v>31</v>
      </c>
      <c r="H613" t="s">
        <v>31</v>
      </c>
      <c r="I613" t="s">
        <v>32</v>
      </c>
      <c r="J613" t="s">
        <v>27</v>
      </c>
      <c r="K613" t="s">
        <v>16</v>
      </c>
      <c r="L613" t="s">
        <v>33</v>
      </c>
    </row>
    <row r="614" spans="1:12" x14ac:dyDescent="0.25">
      <c r="A614" t="s">
        <v>1249</v>
      </c>
      <c r="B614">
        <v>1</v>
      </c>
      <c r="C614" s="1">
        <v>44556</v>
      </c>
      <c r="D614" s="2">
        <v>0.68611111111111101</v>
      </c>
      <c r="E614" t="s">
        <v>1250</v>
      </c>
      <c r="F614" t="s">
        <v>13</v>
      </c>
      <c r="G614" t="s">
        <v>13</v>
      </c>
      <c r="H614" t="s">
        <v>13</v>
      </c>
      <c r="I614" t="s">
        <v>14</v>
      </c>
      <c r="J614" t="s">
        <v>27</v>
      </c>
      <c r="K614" t="s">
        <v>16</v>
      </c>
      <c r="L614" t="s">
        <v>17</v>
      </c>
    </row>
    <row r="615" spans="1:12" x14ac:dyDescent="0.25">
      <c r="A615" t="s">
        <v>1251</v>
      </c>
      <c r="B615">
        <v>1</v>
      </c>
      <c r="C615" s="1">
        <v>44556</v>
      </c>
      <c r="D615" s="2">
        <v>0.67361111111111116</v>
      </c>
      <c r="E615" t="s">
        <v>1252</v>
      </c>
      <c r="F615" t="s">
        <v>13</v>
      </c>
      <c r="G615" t="s">
        <v>13</v>
      </c>
      <c r="H615" t="s">
        <v>13</v>
      </c>
      <c r="I615" t="s">
        <v>14</v>
      </c>
      <c r="J615" t="s">
        <v>27</v>
      </c>
      <c r="K615" t="s">
        <v>21</v>
      </c>
      <c r="L615" t="s">
        <v>17</v>
      </c>
    </row>
    <row r="616" spans="1:12" x14ac:dyDescent="0.25">
      <c r="A616" t="s">
        <v>1253</v>
      </c>
      <c r="B616">
        <v>1</v>
      </c>
      <c r="C616" s="1">
        <v>44556</v>
      </c>
      <c r="D616" s="2">
        <v>0.63124999999999998</v>
      </c>
      <c r="E616" t="s">
        <v>1254</v>
      </c>
      <c r="F616" t="s">
        <v>13</v>
      </c>
      <c r="G616" t="s">
        <v>13</v>
      </c>
      <c r="H616" t="s">
        <v>13</v>
      </c>
      <c r="I616" t="s">
        <v>14</v>
      </c>
      <c r="J616" t="s">
        <v>27</v>
      </c>
      <c r="K616" t="s">
        <v>21</v>
      </c>
      <c r="L616" t="s">
        <v>17</v>
      </c>
    </row>
    <row r="617" spans="1:12" x14ac:dyDescent="0.25">
      <c r="A617" t="s">
        <v>1255</v>
      </c>
      <c r="B617">
        <v>3</v>
      </c>
      <c r="C617" s="1">
        <v>44556</v>
      </c>
      <c r="D617" s="2">
        <v>0.61875000000000002</v>
      </c>
      <c r="E617" t="s">
        <v>1256</v>
      </c>
      <c r="F617" t="s">
        <v>31</v>
      </c>
      <c r="G617" t="s">
        <v>31</v>
      </c>
      <c r="H617" t="s">
        <v>31</v>
      </c>
      <c r="I617" t="s">
        <v>32</v>
      </c>
      <c r="J617" t="s">
        <v>27</v>
      </c>
      <c r="K617" t="s">
        <v>21</v>
      </c>
      <c r="L617" t="s">
        <v>33</v>
      </c>
    </row>
    <row r="618" spans="1:12" x14ac:dyDescent="0.25">
      <c r="A618" t="s">
        <v>1257</v>
      </c>
      <c r="B618">
        <v>1</v>
      </c>
      <c r="C618" s="1">
        <v>44556</v>
      </c>
      <c r="D618" s="2">
        <v>0.6118055555555556</v>
      </c>
      <c r="E618" t="s">
        <v>1258</v>
      </c>
      <c r="F618" t="s">
        <v>31</v>
      </c>
      <c r="G618" t="s">
        <v>31</v>
      </c>
      <c r="H618" t="s">
        <v>31</v>
      </c>
      <c r="I618" t="s">
        <v>32</v>
      </c>
      <c r="J618" t="s">
        <v>27</v>
      </c>
      <c r="K618" t="s">
        <v>16</v>
      </c>
      <c r="L618" t="s">
        <v>33</v>
      </c>
    </row>
    <row r="619" spans="1:12" x14ac:dyDescent="0.25">
      <c r="A619" t="s">
        <v>1259</v>
      </c>
      <c r="B619">
        <v>5</v>
      </c>
      <c r="C619" s="1">
        <v>44556</v>
      </c>
      <c r="D619" s="2">
        <v>0.59652777777777777</v>
      </c>
      <c r="E619" t="s">
        <v>1260</v>
      </c>
      <c r="F619" t="s">
        <v>36</v>
      </c>
      <c r="G619" t="s">
        <v>36</v>
      </c>
      <c r="H619" t="s">
        <v>36</v>
      </c>
      <c r="I619" t="s">
        <v>13</v>
      </c>
      <c r="J619" t="s">
        <v>27</v>
      </c>
      <c r="K619" t="s">
        <v>21</v>
      </c>
      <c r="L619" t="s">
        <v>17</v>
      </c>
    </row>
    <row r="620" spans="1:12" x14ac:dyDescent="0.25">
      <c r="A620" t="s">
        <v>1261</v>
      </c>
      <c r="B620">
        <v>2</v>
      </c>
      <c r="C620" s="1">
        <v>44556</v>
      </c>
      <c r="D620" s="2">
        <v>0.55625000000000002</v>
      </c>
      <c r="E620" t="s">
        <v>1262</v>
      </c>
      <c r="F620" t="s">
        <v>13</v>
      </c>
      <c r="G620" t="s">
        <v>13</v>
      </c>
      <c r="H620" t="s">
        <v>13</v>
      </c>
      <c r="I620" t="s">
        <v>14</v>
      </c>
      <c r="J620" t="s">
        <v>27</v>
      </c>
      <c r="K620" t="s">
        <v>21</v>
      </c>
      <c r="L620" t="s">
        <v>17</v>
      </c>
    </row>
    <row r="621" spans="1:12" x14ac:dyDescent="0.25">
      <c r="A621" t="s">
        <v>1263</v>
      </c>
      <c r="B621">
        <v>1</v>
      </c>
      <c r="C621" s="1">
        <v>44556</v>
      </c>
      <c r="D621" s="2">
        <v>0.55069444444444449</v>
      </c>
      <c r="E621" t="s">
        <v>1264</v>
      </c>
      <c r="F621" t="s">
        <v>13</v>
      </c>
      <c r="G621" t="s">
        <v>13</v>
      </c>
      <c r="H621" t="s">
        <v>13</v>
      </c>
      <c r="I621" t="s">
        <v>14</v>
      </c>
      <c r="J621" t="s">
        <v>27</v>
      </c>
      <c r="K621" t="s">
        <v>21</v>
      </c>
      <c r="L621" t="s">
        <v>17</v>
      </c>
    </row>
    <row r="622" spans="1:12" x14ac:dyDescent="0.25">
      <c r="A622" t="s">
        <v>1265</v>
      </c>
      <c r="B622">
        <v>1</v>
      </c>
      <c r="C622" s="1">
        <v>44555</v>
      </c>
      <c r="D622" s="2">
        <v>0.41041666666666665</v>
      </c>
      <c r="E622" t="s">
        <v>1266</v>
      </c>
      <c r="F622" t="s">
        <v>13</v>
      </c>
      <c r="G622" t="s">
        <v>13</v>
      </c>
      <c r="H622" t="s">
        <v>13</v>
      </c>
      <c r="I622" t="s">
        <v>14</v>
      </c>
      <c r="J622" t="s">
        <v>27</v>
      </c>
      <c r="K622" t="s">
        <v>28</v>
      </c>
      <c r="L622" t="s">
        <v>17</v>
      </c>
    </row>
    <row r="623" spans="1:12" x14ac:dyDescent="0.25">
      <c r="A623" t="s">
        <v>1267</v>
      </c>
      <c r="B623">
        <v>1</v>
      </c>
      <c r="C623" s="1">
        <v>44555</v>
      </c>
      <c r="D623" s="2">
        <v>0.33124999999999999</v>
      </c>
      <c r="E623" t="s">
        <v>1268</v>
      </c>
      <c r="F623" t="s">
        <v>31</v>
      </c>
      <c r="G623" t="s">
        <v>31</v>
      </c>
      <c r="H623" t="s">
        <v>31</v>
      </c>
      <c r="I623" t="s">
        <v>32</v>
      </c>
      <c r="J623" t="s">
        <v>27</v>
      </c>
      <c r="K623" t="s">
        <v>21</v>
      </c>
      <c r="L623" t="s">
        <v>33</v>
      </c>
    </row>
    <row r="624" spans="1:12" x14ac:dyDescent="0.25">
      <c r="A624" t="s">
        <v>1269</v>
      </c>
      <c r="B624">
        <v>1</v>
      </c>
      <c r="C624" s="1">
        <v>44555</v>
      </c>
      <c r="D624" s="2">
        <v>0.32847222222222222</v>
      </c>
      <c r="E624" t="s">
        <v>1270</v>
      </c>
      <c r="F624" t="s">
        <v>13</v>
      </c>
      <c r="G624" t="s">
        <v>13</v>
      </c>
      <c r="H624" t="s">
        <v>13</v>
      </c>
      <c r="I624" t="s">
        <v>14</v>
      </c>
      <c r="J624" t="s">
        <v>27</v>
      </c>
      <c r="K624" t="s">
        <v>21</v>
      </c>
      <c r="L624" t="s">
        <v>17</v>
      </c>
    </row>
    <row r="625" spans="1:12" x14ac:dyDescent="0.25">
      <c r="A625" t="s">
        <v>1271</v>
      </c>
      <c r="B625">
        <v>1</v>
      </c>
      <c r="C625" s="1">
        <v>44555</v>
      </c>
      <c r="D625" s="2">
        <v>0.18819444444444444</v>
      </c>
      <c r="E625" t="s">
        <v>1272</v>
      </c>
      <c r="F625" t="s">
        <v>31</v>
      </c>
      <c r="G625" t="s">
        <v>31</v>
      </c>
      <c r="H625" t="s">
        <v>31</v>
      </c>
      <c r="I625" t="s">
        <v>32</v>
      </c>
      <c r="J625" t="s">
        <v>27</v>
      </c>
      <c r="K625" t="s">
        <v>21</v>
      </c>
      <c r="L625" t="s">
        <v>33</v>
      </c>
    </row>
    <row r="626" spans="1:12" x14ac:dyDescent="0.25">
      <c r="A626" t="s">
        <v>1273</v>
      </c>
      <c r="B626">
        <v>2</v>
      </c>
      <c r="C626" s="1">
        <v>44555</v>
      </c>
      <c r="D626" s="2">
        <v>0.17569444444444446</v>
      </c>
      <c r="E626" t="s">
        <v>1274</v>
      </c>
      <c r="F626" t="s">
        <v>31</v>
      </c>
      <c r="G626" t="s">
        <v>31</v>
      </c>
      <c r="H626" t="s">
        <v>31</v>
      </c>
      <c r="I626" t="s">
        <v>32</v>
      </c>
      <c r="J626" t="s">
        <v>27</v>
      </c>
      <c r="K626" t="s">
        <v>21</v>
      </c>
      <c r="L626" t="s">
        <v>33</v>
      </c>
    </row>
    <row r="627" spans="1:12" x14ac:dyDescent="0.25">
      <c r="A627" t="s">
        <v>1275</v>
      </c>
      <c r="B627">
        <v>2</v>
      </c>
      <c r="C627" s="1">
        <v>44555</v>
      </c>
      <c r="D627" s="2">
        <v>6.5277777777777782E-2</v>
      </c>
      <c r="E627" t="s">
        <v>1276</v>
      </c>
      <c r="F627" t="s">
        <v>13</v>
      </c>
      <c r="G627" t="s">
        <v>13</v>
      </c>
      <c r="H627" t="s">
        <v>13</v>
      </c>
      <c r="I627" t="s">
        <v>14</v>
      </c>
      <c r="J627" t="s">
        <v>27</v>
      </c>
      <c r="K627" t="s">
        <v>28</v>
      </c>
      <c r="L627" t="s">
        <v>17</v>
      </c>
    </row>
    <row r="628" spans="1:12" x14ac:dyDescent="0.25">
      <c r="A628" t="s">
        <v>1277</v>
      </c>
      <c r="B628">
        <v>3</v>
      </c>
      <c r="C628" s="1">
        <v>44555</v>
      </c>
      <c r="D628" s="2">
        <v>0.72638888888888886</v>
      </c>
      <c r="E628" t="s">
        <v>1278</v>
      </c>
      <c r="F628" t="s">
        <v>31</v>
      </c>
      <c r="G628" t="s">
        <v>31</v>
      </c>
      <c r="H628" t="s">
        <v>31</v>
      </c>
      <c r="I628" t="s">
        <v>32</v>
      </c>
      <c r="J628" t="s">
        <v>27</v>
      </c>
      <c r="K628" t="s">
        <v>21</v>
      </c>
      <c r="L628" t="s">
        <v>33</v>
      </c>
    </row>
    <row r="629" spans="1:12" x14ac:dyDescent="0.25">
      <c r="A629" t="s">
        <v>1279</v>
      </c>
      <c r="B629">
        <v>3</v>
      </c>
      <c r="C629" s="1">
        <v>44555</v>
      </c>
      <c r="D629" s="2">
        <v>0.66180555555555554</v>
      </c>
      <c r="E629" t="s">
        <v>1280</v>
      </c>
      <c r="F629" t="s">
        <v>31</v>
      </c>
      <c r="G629" t="s">
        <v>31</v>
      </c>
      <c r="H629" t="s">
        <v>31</v>
      </c>
      <c r="I629" t="s">
        <v>32</v>
      </c>
      <c r="J629" t="s">
        <v>27</v>
      </c>
      <c r="K629" t="s">
        <v>21</v>
      </c>
      <c r="L629" t="s">
        <v>33</v>
      </c>
    </row>
    <row r="630" spans="1:12" x14ac:dyDescent="0.25">
      <c r="A630" t="s">
        <v>1281</v>
      </c>
      <c r="B630">
        <v>1</v>
      </c>
      <c r="C630" s="1">
        <v>44555</v>
      </c>
      <c r="D630" s="2">
        <v>0.61736111111111114</v>
      </c>
      <c r="E630" t="s">
        <v>1282</v>
      </c>
      <c r="F630" t="s">
        <v>31</v>
      </c>
      <c r="G630" t="s">
        <v>31</v>
      </c>
      <c r="H630" t="s">
        <v>31</v>
      </c>
      <c r="I630" t="s">
        <v>32</v>
      </c>
      <c r="J630" t="s">
        <v>27</v>
      </c>
      <c r="K630" t="s">
        <v>16</v>
      </c>
      <c r="L630" t="s">
        <v>33</v>
      </c>
    </row>
    <row r="631" spans="1:12" x14ac:dyDescent="0.25">
      <c r="A631" t="s">
        <v>1283</v>
      </c>
      <c r="B631">
        <v>2</v>
      </c>
      <c r="C631" s="1">
        <v>44555</v>
      </c>
      <c r="D631" s="2">
        <v>0.60416666666666663</v>
      </c>
      <c r="E631" t="s">
        <v>1284</v>
      </c>
      <c r="F631" t="s">
        <v>13</v>
      </c>
      <c r="G631" t="s">
        <v>13</v>
      </c>
      <c r="H631" t="s">
        <v>13</v>
      </c>
      <c r="I631" t="s">
        <v>14</v>
      </c>
      <c r="J631" t="s">
        <v>27</v>
      </c>
      <c r="K631" t="s">
        <v>21</v>
      </c>
      <c r="L631" t="s">
        <v>17</v>
      </c>
    </row>
    <row r="632" spans="1:12" x14ac:dyDescent="0.25">
      <c r="A632" t="s">
        <v>1285</v>
      </c>
      <c r="B632">
        <v>2</v>
      </c>
      <c r="C632" s="1">
        <v>44555</v>
      </c>
      <c r="D632" s="2">
        <v>0.56041666666666667</v>
      </c>
      <c r="E632" t="s">
        <v>1286</v>
      </c>
      <c r="F632" t="s">
        <v>13</v>
      </c>
      <c r="G632" t="s">
        <v>13</v>
      </c>
      <c r="H632" t="s">
        <v>13</v>
      </c>
      <c r="I632" t="s">
        <v>14</v>
      </c>
      <c r="J632" t="s">
        <v>27</v>
      </c>
      <c r="K632" t="s">
        <v>21</v>
      </c>
      <c r="L632" t="s">
        <v>17</v>
      </c>
    </row>
    <row r="633" spans="1:12" x14ac:dyDescent="0.25">
      <c r="A633" t="s">
        <v>1287</v>
      </c>
      <c r="B633">
        <v>5</v>
      </c>
      <c r="C633" s="1">
        <v>44555</v>
      </c>
      <c r="D633" s="2">
        <v>0.51250000000000007</v>
      </c>
      <c r="E633" t="s">
        <v>1288</v>
      </c>
      <c r="F633" t="s">
        <v>36</v>
      </c>
      <c r="G633" t="s">
        <v>36</v>
      </c>
      <c r="H633" t="s">
        <v>36</v>
      </c>
      <c r="I633" t="s">
        <v>13</v>
      </c>
      <c r="J633" t="s">
        <v>27</v>
      </c>
      <c r="K633" t="s">
        <v>28</v>
      </c>
      <c r="L633" t="s">
        <v>17</v>
      </c>
    </row>
    <row r="634" spans="1:12" x14ac:dyDescent="0.25">
      <c r="A634" t="s">
        <v>1289</v>
      </c>
      <c r="B634">
        <v>1</v>
      </c>
      <c r="C634" s="1">
        <v>44555</v>
      </c>
      <c r="D634" s="2">
        <v>0.4284722222222222</v>
      </c>
      <c r="E634" t="s">
        <v>1290</v>
      </c>
      <c r="F634" t="s">
        <v>31</v>
      </c>
      <c r="G634" t="s">
        <v>31</v>
      </c>
      <c r="H634" t="s">
        <v>31</v>
      </c>
      <c r="I634" t="s">
        <v>32</v>
      </c>
      <c r="J634" t="s">
        <v>27</v>
      </c>
      <c r="K634" t="s">
        <v>21</v>
      </c>
      <c r="L634" t="s">
        <v>33</v>
      </c>
    </row>
    <row r="635" spans="1:12" x14ac:dyDescent="0.25">
      <c r="A635" t="s">
        <v>1291</v>
      </c>
      <c r="B635">
        <v>2</v>
      </c>
      <c r="C635" s="1">
        <v>44554</v>
      </c>
      <c r="D635" s="2">
        <v>0.23055555555555554</v>
      </c>
      <c r="E635" t="s">
        <v>1292</v>
      </c>
      <c r="F635" t="s">
        <v>31</v>
      </c>
      <c r="G635" t="s">
        <v>31</v>
      </c>
      <c r="H635" t="s">
        <v>31</v>
      </c>
      <c r="I635" t="s">
        <v>32</v>
      </c>
      <c r="J635" t="s">
        <v>27</v>
      </c>
      <c r="K635" t="s">
        <v>21</v>
      </c>
      <c r="L635" t="s">
        <v>33</v>
      </c>
    </row>
    <row r="636" spans="1:12" x14ac:dyDescent="0.25">
      <c r="A636" t="s">
        <v>1293</v>
      </c>
      <c r="B636">
        <v>1</v>
      </c>
      <c r="C636" s="1">
        <v>44554</v>
      </c>
      <c r="D636" s="2">
        <v>0.16388888888888889</v>
      </c>
      <c r="E636" t="s">
        <v>1294</v>
      </c>
      <c r="F636" t="s">
        <v>13</v>
      </c>
      <c r="G636" t="s">
        <v>13</v>
      </c>
      <c r="H636" t="s">
        <v>13</v>
      </c>
      <c r="I636" t="s">
        <v>14</v>
      </c>
      <c r="J636" t="s">
        <v>27</v>
      </c>
      <c r="K636" t="s">
        <v>21</v>
      </c>
      <c r="L636" t="s">
        <v>17</v>
      </c>
    </row>
    <row r="637" spans="1:12" x14ac:dyDescent="0.25">
      <c r="A637" t="s">
        <v>1295</v>
      </c>
      <c r="B637">
        <v>1</v>
      </c>
      <c r="C637" s="1">
        <v>44554</v>
      </c>
      <c r="D637" s="2">
        <v>0.11458333333333333</v>
      </c>
      <c r="E637" t="s">
        <v>1296</v>
      </c>
      <c r="F637" t="s">
        <v>13</v>
      </c>
      <c r="G637" t="s">
        <v>13</v>
      </c>
      <c r="H637" t="s">
        <v>13</v>
      </c>
      <c r="I637" t="s">
        <v>14</v>
      </c>
      <c r="J637" t="s">
        <v>27</v>
      </c>
      <c r="K637" t="s">
        <v>16</v>
      </c>
      <c r="L637" t="s">
        <v>17</v>
      </c>
    </row>
    <row r="638" spans="1:12" x14ac:dyDescent="0.25">
      <c r="A638" t="s">
        <v>1297</v>
      </c>
      <c r="B638">
        <v>5</v>
      </c>
      <c r="C638" s="1">
        <v>44554</v>
      </c>
      <c r="D638" s="2">
        <v>0.64027777777777783</v>
      </c>
      <c r="E638" t="s">
        <v>1298</v>
      </c>
      <c r="F638" t="s">
        <v>13</v>
      </c>
      <c r="G638" t="s">
        <v>13</v>
      </c>
      <c r="H638" t="s">
        <v>13</v>
      </c>
      <c r="I638" t="s">
        <v>14</v>
      </c>
      <c r="J638" t="s">
        <v>27</v>
      </c>
      <c r="K638" t="s">
        <v>21</v>
      </c>
      <c r="L638" t="s">
        <v>17</v>
      </c>
    </row>
    <row r="639" spans="1:12" x14ac:dyDescent="0.25">
      <c r="A639" t="s">
        <v>1299</v>
      </c>
      <c r="B639">
        <v>1</v>
      </c>
      <c r="C639" s="1">
        <v>44554</v>
      </c>
      <c r="D639" s="2">
        <v>0.5083333333333333</v>
      </c>
      <c r="E639" t="s">
        <v>1300</v>
      </c>
      <c r="F639" t="s">
        <v>13</v>
      </c>
      <c r="G639" t="s">
        <v>13</v>
      </c>
      <c r="H639" t="s">
        <v>13</v>
      </c>
      <c r="I639" t="s">
        <v>14</v>
      </c>
      <c r="J639" t="s">
        <v>27</v>
      </c>
      <c r="K639" t="s">
        <v>28</v>
      </c>
      <c r="L639" t="s">
        <v>17</v>
      </c>
    </row>
    <row r="640" spans="1:12" x14ac:dyDescent="0.25">
      <c r="A640" t="s">
        <v>1301</v>
      </c>
      <c r="B640">
        <v>5</v>
      </c>
      <c r="C640" s="1">
        <v>44553</v>
      </c>
      <c r="D640" s="2">
        <v>0.41319444444444442</v>
      </c>
      <c r="E640" t="s">
        <v>1302</v>
      </c>
      <c r="F640" t="s">
        <v>36</v>
      </c>
      <c r="G640" t="s">
        <v>36</v>
      </c>
      <c r="H640" t="s">
        <v>36</v>
      </c>
      <c r="I640" t="s">
        <v>13</v>
      </c>
      <c r="J640" t="s">
        <v>27</v>
      </c>
      <c r="K640" t="s">
        <v>21</v>
      </c>
      <c r="L640" t="s">
        <v>17</v>
      </c>
    </row>
    <row r="641" spans="1:12" x14ac:dyDescent="0.25">
      <c r="A641" t="s">
        <v>1303</v>
      </c>
      <c r="B641">
        <v>3</v>
      </c>
      <c r="C641" s="1">
        <v>44553</v>
      </c>
      <c r="D641" s="2">
        <v>0.31319444444444444</v>
      </c>
      <c r="E641" t="s">
        <v>1304</v>
      </c>
      <c r="F641" t="s">
        <v>31</v>
      </c>
      <c r="G641" t="s">
        <v>31</v>
      </c>
      <c r="H641" t="s">
        <v>31</v>
      </c>
      <c r="I641" t="s">
        <v>32</v>
      </c>
      <c r="J641" t="s">
        <v>27</v>
      </c>
      <c r="K641" t="s">
        <v>21</v>
      </c>
      <c r="L641" t="s">
        <v>33</v>
      </c>
    </row>
    <row r="642" spans="1:12" x14ac:dyDescent="0.25">
      <c r="A642" t="s">
        <v>1305</v>
      </c>
      <c r="B642">
        <v>3</v>
      </c>
      <c r="C642" s="1">
        <v>44553</v>
      </c>
      <c r="D642" s="2">
        <v>0.28541666666666665</v>
      </c>
      <c r="E642" t="s">
        <v>1306</v>
      </c>
      <c r="F642" t="s">
        <v>31</v>
      </c>
      <c r="G642" t="s">
        <v>31</v>
      </c>
      <c r="H642" t="s">
        <v>31</v>
      </c>
      <c r="I642" t="s">
        <v>32</v>
      </c>
      <c r="J642" t="s">
        <v>27</v>
      </c>
      <c r="K642" t="s">
        <v>16</v>
      </c>
      <c r="L642" t="s">
        <v>33</v>
      </c>
    </row>
    <row r="643" spans="1:12" x14ac:dyDescent="0.25">
      <c r="A643" t="s">
        <v>1307</v>
      </c>
      <c r="B643">
        <v>1</v>
      </c>
      <c r="C643" s="1">
        <v>44553</v>
      </c>
      <c r="D643" s="2">
        <v>0.27986111111111112</v>
      </c>
      <c r="E643" t="s">
        <v>1308</v>
      </c>
      <c r="F643" t="s">
        <v>13</v>
      </c>
      <c r="G643" t="s">
        <v>13</v>
      </c>
      <c r="H643" t="s">
        <v>13</v>
      </c>
      <c r="I643" t="s">
        <v>14</v>
      </c>
      <c r="J643" t="s">
        <v>27</v>
      </c>
      <c r="K643" t="s">
        <v>21</v>
      </c>
      <c r="L643" t="s">
        <v>17</v>
      </c>
    </row>
    <row r="644" spans="1:12" x14ac:dyDescent="0.25">
      <c r="A644" t="s">
        <v>1309</v>
      </c>
      <c r="B644">
        <v>1</v>
      </c>
      <c r="C644" s="1">
        <v>44553</v>
      </c>
      <c r="D644" s="2">
        <v>0.26319444444444445</v>
      </c>
      <c r="E644" t="s">
        <v>1310</v>
      </c>
      <c r="F644" t="s">
        <v>31</v>
      </c>
      <c r="G644" t="s">
        <v>31</v>
      </c>
      <c r="H644" t="s">
        <v>31</v>
      </c>
      <c r="I644" t="s">
        <v>32</v>
      </c>
      <c r="J644" t="s">
        <v>27</v>
      </c>
      <c r="K644" t="s">
        <v>21</v>
      </c>
      <c r="L644" t="s">
        <v>33</v>
      </c>
    </row>
    <row r="645" spans="1:12" x14ac:dyDescent="0.25">
      <c r="A645" t="s">
        <v>1311</v>
      </c>
      <c r="B645">
        <v>1</v>
      </c>
      <c r="C645" s="1">
        <v>44553</v>
      </c>
      <c r="D645" s="2">
        <v>0.21805555555555556</v>
      </c>
      <c r="E645" t="s">
        <v>1312</v>
      </c>
      <c r="F645" t="s">
        <v>13</v>
      </c>
      <c r="G645" t="s">
        <v>13</v>
      </c>
      <c r="H645" t="s">
        <v>13</v>
      </c>
      <c r="I645" t="s">
        <v>14</v>
      </c>
      <c r="J645" t="s">
        <v>27</v>
      </c>
      <c r="K645" t="s">
        <v>28</v>
      </c>
      <c r="L645" t="s">
        <v>17</v>
      </c>
    </row>
    <row r="646" spans="1:12" x14ac:dyDescent="0.25">
      <c r="A646" t="s">
        <v>1313</v>
      </c>
      <c r="B646">
        <v>2</v>
      </c>
      <c r="C646" s="1">
        <v>44553</v>
      </c>
      <c r="D646" s="2">
        <v>0.16666666666666666</v>
      </c>
      <c r="E646" t="s">
        <v>1314</v>
      </c>
      <c r="F646" t="s">
        <v>13</v>
      </c>
      <c r="G646" t="s">
        <v>13</v>
      </c>
      <c r="H646" t="s">
        <v>13</v>
      </c>
      <c r="I646" t="s">
        <v>14</v>
      </c>
      <c r="J646" t="s">
        <v>27</v>
      </c>
      <c r="K646" t="s">
        <v>21</v>
      </c>
      <c r="L646" t="s">
        <v>17</v>
      </c>
    </row>
    <row r="647" spans="1:12" x14ac:dyDescent="0.25">
      <c r="A647" t="s">
        <v>1315</v>
      </c>
      <c r="B647">
        <v>2</v>
      </c>
      <c r="C647" s="1">
        <v>44553</v>
      </c>
      <c r="D647" s="2">
        <v>0.94374999999999998</v>
      </c>
      <c r="E647" t="s">
        <v>1316</v>
      </c>
      <c r="F647" t="s">
        <v>31</v>
      </c>
      <c r="G647" t="s">
        <v>31</v>
      </c>
      <c r="H647" t="s">
        <v>31</v>
      </c>
      <c r="I647" t="s">
        <v>32</v>
      </c>
      <c r="J647" t="s">
        <v>27</v>
      </c>
      <c r="K647" t="s">
        <v>21</v>
      </c>
      <c r="L647" t="s">
        <v>33</v>
      </c>
    </row>
    <row r="648" spans="1:12" x14ac:dyDescent="0.25">
      <c r="A648" t="s">
        <v>1317</v>
      </c>
      <c r="B648">
        <v>1</v>
      </c>
      <c r="C648" s="1">
        <v>44553</v>
      </c>
      <c r="D648" s="2">
        <v>0.87083333333333324</v>
      </c>
      <c r="E648" t="s">
        <v>1318</v>
      </c>
      <c r="F648" t="s">
        <v>13</v>
      </c>
      <c r="G648" t="s">
        <v>13</v>
      </c>
      <c r="H648" t="s">
        <v>13</v>
      </c>
      <c r="I648" t="s">
        <v>14</v>
      </c>
      <c r="J648" t="s">
        <v>27</v>
      </c>
      <c r="K648" t="s">
        <v>21</v>
      </c>
      <c r="L648" t="s">
        <v>17</v>
      </c>
    </row>
    <row r="649" spans="1:12" x14ac:dyDescent="0.25">
      <c r="A649" t="s">
        <v>1319</v>
      </c>
      <c r="B649">
        <v>2</v>
      </c>
      <c r="C649" s="1">
        <v>44553</v>
      </c>
      <c r="D649" s="2">
        <v>8.1250000000000003E-2</v>
      </c>
      <c r="E649" t="s">
        <v>1320</v>
      </c>
      <c r="F649" t="s">
        <v>13</v>
      </c>
      <c r="G649" t="s">
        <v>13</v>
      </c>
      <c r="H649" t="s">
        <v>13</v>
      </c>
      <c r="I649" t="s">
        <v>14</v>
      </c>
      <c r="J649" t="s">
        <v>27</v>
      </c>
      <c r="K649" t="s">
        <v>21</v>
      </c>
      <c r="L649" t="s">
        <v>17</v>
      </c>
    </row>
    <row r="650" spans="1:12" x14ac:dyDescent="0.25">
      <c r="A650" t="s">
        <v>1321</v>
      </c>
      <c r="B650">
        <v>1</v>
      </c>
      <c r="C650" s="1">
        <v>44553</v>
      </c>
      <c r="D650" s="2">
        <v>0.54861111111111105</v>
      </c>
      <c r="E650" t="s">
        <v>1322</v>
      </c>
      <c r="F650" t="s">
        <v>31</v>
      </c>
      <c r="G650" t="s">
        <v>31</v>
      </c>
      <c r="H650" t="s">
        <v>31</v>
      </c>
      <c r="I650" t="s">
        <v>32</v>
      </c>
      <c r="J650" t="s">
        <v>27</v>
      </c>
      <c r="K650" t="s">
        <v>28</v>
      </c>
      <c r="L650" t="s">
        <v>33</v>
      </c>
    </row>
    <row r="651" spans="1:12" x14ac:dyDescent="0.25">
      <c r="A651" t="s">
        <v>1323</v>
      </c>
      <c r="B651">
        <v>1</v>
      </c>
      <c r="C651" s="1">
        <v>44552</v>
      </c>
      <c r="D651" s="2">
        <v>0.12291666666666667</v>
      </c>
      <c r="E651" t="s">
        <v>1324</v>
      </c>
      <c r="F651" t="s">
        <v>13</v>
      </c>
      <c r="G651" t="s">
        <v>13</v>
      </c>
      <c r="H651" t="s">
        <v>13</v>
      </c>
      <c r="I651" t="s">
        <v>14</v>
      </c>
      <c r="J651" t="s">
        <v>27</v>
      </c>
      <c r="K651" t="s">
        <v>21</v>
      </c>
      <c r="L651" t="s">
        <v>17</v>
      </c>
    </row>
    <row r="652" spans="1:12" x14ac:dyDescent="0.25">
      <c r="A652" t="s">
        <v>1325</v>
      </c>
      <c r="B652">
        <v>2</v>
      </c>
      <c r="C652" s="1">
        <v>44552</v>
      </c>
      <c r="D652" s="2">
        <v>0.81041666666666667</v>
      </c>
      <c r="E652" t="s">
        <v>1326</v>
      </c>
      <c r="F652" t="s">
        <v>13</v>
      </c>
      <c r="G652" t="s">
        <v>13</v>
      </c>
      <c r="H652" t="s">
        <v>13</v>
      </c>
      <c r="I652" t="s">
        <v>14</v>
      </c>
      <c r="J652" t="s">
        <v>27</v>
      </c>
      <c r="K652" t="s">
        <v>21</v>
      </c>
      <c r="L652" t="s">
        <v>17</v>
      </c>
    </row>
    <row r="653" spans="1:12" x14ac:dyDescent="0.25">
      <c r="A653" t="s">
        <v>1327</v>
      </c>
      <c r="B653">
        <v>1</v>
      </c>
      <c r="C653" s="1">
        <v>44552</v>
      </c>
      <c r="D653" s="2">
        <v>0.74513888888888891</v>
      </c>
      <c r="E653" t="s">
        <v>1328</v>
      </c>
      <c r="F653" t="s">
        <v>13</v>
      </c>
      <c r="G653" t="s">
        <v>13</v>
      </c>
      <c r="H653" t="s">
        <v>13</v>
      </c>
      <c r="I653" t="s">
        <v>14</v>
      </c>
      <c r="J653" t="s">
        <v>27</v>
      </c>
      <c r="K653" t="s">
        <v>21</v>
      </c>
      <c r="L653" t="s">
        <v>17</v>
      </c>
    </row>
    <row r="654" spans="1:12" x14ac:dyDescent="0.25">
      <c r="A654" t="s">
        <v>1329</v>
      </c>
      <c r="B654">
        <v>1</v>
      </c>
      <c r="C654" s="1">
        <v>44552</v>
      </c>
      <c r="D654" s="2">
        <v>0.61041666666666672</v>
      </c>
      <c r="E654" t="s">
        <v>1330</v>
      </c>
      <c r="F654" t="s">
        <v>31</v>
      </c>
      <c r="G654" t="s">
        <v>31</v>
      </c>
      <c r="H654" t="s">
        <v>31</v>
      </c>
      <c r="I654" t="s">
        <v>32</v>
      </c>
      <c r="J654" t="s">
        <v>27</v>
      </c>
      <c r="K654" t="s">
        <v>21</v>
      </c>
      <c r="L654" t="s">
        <v>33</v>
      </c>
    </row>
    <row r="655" spans="1:12" x14ac:dyDescent="0.25">
      <c r="A655" t="s">
        <v>1331</v>
      </c>
      <c r="B655">
        <v>4</v>
      </c>
      <c r="C655" s="1">
        <v>44552</v>
      </c>
      <c r="D655" s="2">
        <v>0.56805555555555554</v>
      </c>
      <c r="E655" t="s">
        <v>1332</v>
      </c>
      <c r="F655" t="s">
        <v>31</v>
      </c>
      <c r="G655" t="s">
        <v>31</v>
      </c>
      <c r="H655" t="s">
        <v>31</v>
      </c>
      <c r="I655" t="s">
        <v>32</v>
      </c>
      <c r="J655" t="s">
        <v>27</v>
      </c>
      <c r="K655" t="s">
        <v>21</v>
      </c>
      <c r="L655" t="s">
        <v>33</v>
      </c>
    </row>
    <row r="656" spans="1:12" x14ac:dyDescent="0.25">
      <c r="A656" t="s">
        <v>1333</v>
      </c>
      <c r="B656">
        <v>5</v>
      </c>
      <c r="C656" s="1">
        <v>44551</v>
      </c>
      <c r="D656" s="2">
        <v>0.3347222222222222</v>
      </c>
      <c r="E656" t="s">
        <v>1334</v>
      </c>
      <c r="F656" t="s">
        <v>31</v>
      </c>
      <c r="G656" t="s">
        <v>31</v>
      </c>
      <c r="H656" t="s">
        <v>31</v>
      </c>
      <c r="I656" t="s">
        <v>32</v>
      </c>
      <c r="J656" t="s">
        <v>27</v>
      </c>
      <c r="K656" t="s">
        <v>28</v>
      </c>
      <c r="L656" t="s">
        <v>33</v>
      </c>
    </row>
    <row r="657" spans="1:12" x14ac:dyDescent="0.25">
      <c r="A657" t="s">
        <v>1335</v>
      </c>
      <c r="B657">
        <v>5</v>
      </c>
      <c r="C657" s="1">
        <v>44551</v>
      </c>
      <c r="D657" s="2">
        <v>0.2986111111111111</v>
      </c>
      <c r="E657" t="s">
        <v>1336</v>
      </c>
      <c r="F657" t="s">
        <v>36</v>
      </c>
      <c r="G657" t="s">
        <v>36</v>
      </c>
      <c r="H657" t="s">
        <v>36</v>
      </c>
      <c r="I657" t="s">
        <v>13</v>
      </c>
      <c r="J657" t="s">
        <v>27</v>
      </c>
      <c r="K657" t="s">
        <v>21</v>
      </c>
      <c r="L657" t="s">
        <v>17</v>
      </c>
    </row>
    <row r="658" spans="1:12" x14ac:dyDescent="0.25">
      <c r="A658" t="s">
        <v>1337</v>
      </c>
      <c r="B658">
        <v>1</v>
      </c>
      <c r="C658" s="1">
        <v>44551</v>
      </c>
      <c r="D658" s="2">
        <v>0.25208333333333333</v>
      </c>
      <c r="E658" t="s">
        <v>1338</v>
      </c>
      <c r="F658" t="s">
        <v>31</v>
      </c>
      <c r="G658" t="s">
        <v>31</v>
      </c>
      <c r="H658" t="s">
        <v>31</v>
      </c>
      <c r="I658" t="s">
        <v>32</v>
      </c>
      <c r="J658" t="s">
        <v>27</v>
      </c>
      <c r="K658" t="s">
        <v>21</v>
      </c>
      <c r="L658" t="s">
        <v>33</v>
      </c>
    </row>
    <row r="659" spans="1:12" x14ac:dyDescent="0.25">
      <c r="A659" t="s">
        <v>1339</v>
      </c>
      <c r="B659">
        <v>1</v>
      </c>
      <c r="C659" s="1">
        <v>44551</v>
      </c>
      <c r="D659" s="2">
        <v>0.23055555555555554</v>
      </c>
      <c r="E659" t="s">
        <v>1340</v>
      </c>
      <c r="F659" t="s">
        <v>13</v>
      </c>
      <c r="G659" t="s">
        <v>13</v>
      </c>
      <c r="H659" t="s">
        <v>13</v>
      </c>
      <c r="I659" t="s">
        <v>14</v>
      </c>
      <c r="J659" t="s">
        <v>27</v>
      </c>
      <c r="K659" t="s">
        <v>21</v>
      </c>
      <c r="L659" t="s">
        <v>17</v>
      </c>
    </row>
    <row r="660" spans="1:12" x14ac:dyDescent="0.25">
      <c r="A660" t="s">
        <v>1341</v>
      </c>
      <c r="B660">
        <v>1</v>
      </c>
      <c r="C660" s="1">
        <v>44551</v>
      </c>
      <c r="D660" s="2">
        <v>0.11875000000000001</v>
      </c>
      <c r="E660" t="s">
        <v>1342</v>
      </c>
      <c r="F660" t="s">
        <v>31</v>
      </c>
      <c r="G660" t="s">
        <v>31</v>
      </c>
      <c r="H660" t="s">
        <v>31</v>
      </c>
      <c r="I660" t="s">
        <v>32</v>
      </c>
      <c r="J660" t="s">
        <v>27</v>
      </c>
      <c r="K660" t="s">
        <v>21</v>
      </c>
      <c r="L660" t="s">
        <v>33</v>
      </c>
    </row>
    <row r="661" spans="1:12" x14ac:dyDescent="0.25">
      <c r="A661" t="s">
        <v>1343</v>
      </c>
      <c r="B661">
        <v>1</v>
      </c>
      <c r="C661" s="1">
        <v>44551</v>
      </c>
      <c r="D661" s="2">
        <v>0.10208333333333335</v>
      </c>
      <c r="E661" t="s">
        <v>1344</v>
      </c>
      <c r="F661" t="s">
        <v>31</v>
      </c>
      <c r="G661" t="s">
        <v>31</v>
      </c>
      <c r="H661" t="s">
        <v>31</v>
      </c>
      <c r="I661" t="s">
        <v>32</v>
      </c>
      <c r="J661" t="s">
        <v>27</v>
      </c>
      <c r="K661" t="s">
        <v>21</v>
      </c>
      <c r="L661" t="s">
        <v>33</v>
      </c>
    </row>
    <row r="662" spans="1:12" x14ac:dyDescent="0.25">
      <c r="A662" t="s">
        <v>1345</v>
      </c>
      <c r="B662">
        <v>5</v>
      </c>
      <c r="C662" s="1">
        <v>44551</v>
      </c>
      <c r="D662" s="2">
        <v>9.0972222222222218E-2</v>
      </c>
      <c r="E662" t="s">
        <v>1346</v>
      </c>
      <c r="F662" t="s">
        <v>36</v>
      </c>
      <c r="G662" t="s">
        <v>36</v>
      </c>
      <c r="H662" t="s">
        <v>36</v>
      </c>
      <c r="I662" t="s">
        <v>13</v>
      </c>
      <c r="J662" t="s">
        <v>27</v>
      </c>
      <c r="K662" t="s">
        <v>28</v>
      </c>
      <c r="L662" t="s">
        <v>17</v>
      </c>
    </row>
    <row r="663" spans="1:12" x14ac:dyDescent="0.25">
      <c r="A663" t="s">
        <v>1347</v>
      </c>
      <c r="B663">
        <v>5</v>
      </c>
      <c r="C663" s="1">
        <v>44551</v>
      </c>
      <c r="D663" s="2">
        <v>0.99722222222222223</v>
      </c>
      <c r="E663" t="s">
        <v>1348</v>
      </c>
      <c r="F663" t="s">
        <v>36</v>
      </c>
      <c r="G663" t="s">
        <v>36</v>
      </c>
      <c r="H663" t="s">
        <v>36</v>
      </c>
      <c r="I663" t="s">
        <v>13</v>
      </c>
      <c r="J663" t="s">
        <v>27</v>
      </c>
      <c r="K663" t="s">
        <v>21</v>
      </c>
      <c r="L663" t="s">
        <v>17</v>
      </c>
    </row>
    <row r="664" spans="1:12" x14ac:dyDescent="0.25">
      <c r="A664" t="s">
        <v>1349</v>
      </c>
      <c r="B664">
        <v>1</v>
      </c>
      <c r="C664" s="1">
        <v>44551</v>
      </c>
      <c r="D664" s="2">
        <v>0.6430555555555556</v>
      </c>
      <c r="E664" t="s">
        <v>1350</v>
      </c>
      <c r="F664" t="s">
        <v>31</v>
      </c>
      <c r="G664" t="s">
        <v>31</v>
      </c>
      <c r="H664" t="s">
        <v>31</v>
      </c>
      <c r="I664" t="s">
        <v>32</v>
      </c>
      <c r="J664" t="s">
        <v>27</v>
      </c>
      <c r="K664" t="s">
        <v>21</v>
      </c>
      <c r="L664" t="s">
        <v>33</v>
      </c>
    </row>
    <row r="665" spans="1:12" x14ac:dyDescent="0.25">
      <c r="A665" t="s">
        <v>1351</v>
      </c>
      <c r="B665">
        <v>1</v>
      </c>
      <c r="C665" s="1">
        <v>44551</v>
      </c>
      <c r="D665" s="2">
        <v>0.625</v>
      </c>
      <c r="E665" t="s">
        <v>1352</v>
      </c>
      <c r="F665" t="s">
        <v>13</v>
      </c>
      <c r="G665" t="s">
        <v>13</v>
      </c>
      <c r="H665" t="s">
        <v>13</v>
      </c>
      <c r="I665" t="s">
        <v>14</v>
      </c>
      <c r="J665" t="s">
        <v>27</v>
      </c>
      <c r="K665" t="s">
        <v>21</v>
      </c>
      <c r="L665" t="s">
        <v>17</v>
      </c>
    </row>
    <row r="666" spans="1:12" x14ac:dyDescent="0.25">
      <c r="A666" t="s">
        <v>1353</v>
      </c>
      <c r="B666">
        <v>1</v>
      </c>
      <c r="C666" s="1">
        <v>44551</v>
      </c>
      <c r="D666" s="2">
        <v>0.61319444444444449</v>
      </c>
      <c r="E666" t="s">
        <v>1354</v>
      </c>
      <c r="F666" t="s">
        <v>13</v>
      </c>
      <c r="G666" t="s">
        <v>13</v>
      </c>
      <c r="H666" t="s">
        <v>13</v>
      </c>
      <c r="I666" t="s">
        <v>14</v>
      </c>
      <c r="J666" t="s">
        <v>27</v>
      </c>
      <c r="K666" t="s">
        <v>21</v>
      </c>
      <c r="L666" t="s">
        <v>17</v>
      </c>
    </row>
    <row r="667" spans="1:12" x14ac:dyDescent="0.25">
      <c r="A667" t="s">
        <v>1355</v>
      </c>
      <c r="B667">
        <v>1</v>
      </c>
      <c r="C667" s="1">
        <v>44551</v>
      </c>
      <c r="D667" s="2">
        <v>0.59444444444444444</v>
      </c>
      <c r="E667" t="s">
        <v>1356</v>
      </c>
      <c r="F667" t="s">
        <v>13</v>
      </c>
      <c r="G667" t="s">
        <v>13</v>
      </c>
      <c r="H667" t="s">
        <v>13</v>
      </c>
      <c r="I667" t="s">
        <v>14</v>
      </c>
      <c r="J667" t="s">
        <v>27</v>
      </c>
      <c r="K667" t="s">
        <v>21</v>
      </c>
      <c r="L667" t="s">
        <v>17</v>
      </c>
    </row>
    <row r="668" spans="1:12" x14ac:dyDescent="0.25">
      <c r="A668" t="s">
        <v>1357</v>
      </c>
      <c r="B668">
        <v>1</v>
      </c>
      <c r="C668" s="1">
        <v>44551</v>
      </c>
      <c r="D668" s="2">
        <v>0.58333333333333337</v>
      </c>
      <c r="E668" t="s">
        <v>1358</v>
      </c>
      <c r="F668" t="s">
        <v>13</v>
      </c>
      <c r="G668" t="s">
        <v>13</v>
      </c>
      <c r="H668" t="s">
        <v>13</v>
      </c>
      <c r="I668" t="s">
        <v>14</v>
      </c>
      <c r="J668" t="s">
        <v>27</v>
      </c>
      <c r="K668" t="s">
        <v>21</v>
      </c>
      <c r="L668" t="s">
        <v>17</v>
      </c>
    </row>
    <row r="669" spans="1:12" x14ac:dyDescent="0.25">
      <c r="A669" t="s">
        <v>1359</v>
      </c>
      <c r="B669">
        <v>4</v>
      </c>
      <c r="C669" s="1">
        <v>44551</v>
      </c>
      <c r="D669" s="2">
        <v>0.56874999999999998</v>
      </c>
      <c r="E669" t="s">
        <v>1360</v>
      </c>
      <c r="F669" t="s">
        <v>36</v>
      </c>
      <c r="G669" t="s">
        <v>36</v>
      </c>
      <c r="H669" t="s">
        <v>36</v>
      </c>
      <c r="I669" t="s">
        <v>13</v>
      </c>
      <c r="J669" t="s">
        <v>27</v>
      </c>
      <c r="K669" t="s">
        <v>28</v>
      </c>
      <c r="L669" t="s">
        <v>17</v>
      </c>
    </row>
    <row r="670" spans="1:12" x14ac:dyDescent="0.25">
      <c r="A670" t="s">
        <v>1361</v>
      </c>
      <c r="B670">
        <v>4</v>
      </c>
      <c r="C670" s="1">
        <v>44550</v>
      </c>
      <c r="D670" s="2">
        <v>0.25833333333333336</v>
      </c>
      <c r="E670" t="s">
        <v>1362</v>
      </c>
      <c r="F670" t="s">
        <v>31</v>
      </c>
      <c r="G670" t="s">
        <v>31</v>
      </c>
      <c r="H670" t="s">
        <v>31</v>
      </c>
      <c r="I670" t="s">
        <v>32</v>
      </c>
      <c r="J670" t="s">
        <v>27</v>
      </c>
      <c r="K670" t="s">
        <v>21</v>
      </c>
      <c r="L670" t="s">
        <v>33</v>
      </c>
    </row>
    <row r="671" spans="1:12" x14ac:dyDescent="0.25">
      <c r="A671" t="s">
        <v>1363</v>
      </c>
      <c r="B671">
        <v>4</v>
      </c>
      <c r="C671" s="1">
        <v>44550</v>
      </c>
      <c r="D671" s="2">
        <v>0.23819444444444446</v>
      </c>
      <c r="E671" t="s">
        <v>1364</v>
      </c>
      <c r="F671" t="s">
        <v>31</v>
      </c>
      <c r="G671" t="s">
        <v>31</v>
      </c>
      <c r="H671" t="s">
        <v>31</v>
      </c>
      <c r="I671" t="s">
        <v>32</v>
      </c>
      <c r="J671" t="s">
        <v>27</v>
      </c>
      <c r="K671" t="s">
        <v>21</v>
      </c>
      <c r="L671" t="s">
        <v>33</v>
      </c>
    </row>
    <row r="672" spans="1:12" x14ac:dyDescent="0.25">
      <c r="A672" t="s">
        <v>1365</v>
      </c>
      <c r="B672">
        <v>1</v>
      </c>
      <c r="C672" s="1">
        <v>44550</v>
      </c>
      <c r="D672" s="2">
        <v>0.16527777777777777</v>
      </c>
      <c r="E672" t="s">
        <v>1366</v>
      </c>
      <c r="F672" t="s">
        <v>13</v>
      </c>
      <c r="G672" t="s">
        <v>13</v>
      </c>
      <c r="H672" t="s">
        <v>13</v>
      </c>
      <c r="I672" t="s">
        <v>14</v>
      </c>
      <c r="J672" t="s">
        <v>27</v>
      </c>
      <c r="K672" t="s">
        <v>21</v>
      </c>
      <c r="L672" t="s">
        <v>17</v>
      </c>
    </row>
    <row r="673" spans="1:12" x14ac:dyDescent="0.25">
      <c r="A673" t="s">
        <v>1367</v>
      </c>
      <c r="B673">
        <v>3</v>
      </c>
      <c r="C673" s="1">
        <v>44550</v>
      </c>
      <c r="D673" s="2">
        <v>0.11458333333333333</v>
      </c>
      <c r="E673" t="s">
        <v>1368</v>
      </c>
      <c r="F673" t="s">
        <v>31</v>
      </c>
      <c r="G673" t="s">
        <v>31</v>
      </c>
      <c r="H673" t="s">
        <v>31</v>
      </c>
      <c r="I673" t="s">
        <v>32</v>
      </c>
      <c r="J673" t="s">
        <v>27</v>
      </c>
      <c r="K673" t="s">
        <v>28</v>
      </c>
      <c r="L673" t="s">
        <v>33</v>
      </c>
    </row>
    <row r="674" spans="1:12" x14ac:dyDescent="0.25">
      <c r="A674" t="s">
        <v>1369</v>
      </c>
      <c r="B674">
        <v>1</v>
      </c>
      <c r="C674" s="1">
        <v>44550</v>
      </c>
      <c r="D674" s="2">
        <v>0.78749999999999998</v>
      </c>
      <c r="E674" t="s">
        <v>1370</v>
      </c>
      <c r="F674" t="s">
        <v>31</v>
      </c>
      <c r="G674" t="s">
        <v>31</v>
      </c>
      <c r="H674" t="s">
        <v>31</v>
      </c>
      <c r="I674" t="s">
        <v>32</v>
      </c>
      <c r="J674" t="s">
        <v>27</v>
      </c>
      <c r="K674" t="s">
        <v>21</v>
      </c>
      <c r="L674" t="s">
        <v>33</v>
      </c>
    </row>
    <row r="675" spans="1:12" x14ac:dyDescent="0.25">
      <c r="A675" t="s">
        <v>1371</v>
      </c>
      <c r="B675">
        <v>1</v>
      </c>
      <c r="C675" s="1">
        <v>44550</v>
      </c>
      <c r="D675" s="2">
        <v>0.78125</v>
      </c>
      <c r="E675" t="s">
        <v>1372</v>
      </c>
      <c r="F675" t="s">
        <v>13</v>
      </c>
      <c r="G675" t="s">
        <v>13</v>
      </c>
      <c r="H675" t="s">
        <v>13</v>
      </c>
      <c r="I675" t="s">
        <v>14</v>
      </c>
      <c r="J675" t="s">
        <v>27</v>
      </c>
      <c r="K675" t="s">
        <v>21</v>
      </c>
      <c r="L675" t="s">
        <v>17</v>
      </c>
    </row>
    <row r="676" spans="1:12" x14ac:dyDescent="0.25">
      <c r="A676" t="s">
        <v>1373</v>
      </c>
      <c r="B676">
        <v>1</v>
      </c>
      <c r="C676" s="1">
        <v>44550</v>
      </c>
      <c r="D676" s="2">
        <v>0.6972222222222223</v>
      </c>
      <c r="E676" t="s">
        <v>1374</v>
      </c>
      <c r="F676" t="s">
        <v>13</v>
      </c>
      <c r="G676" t="s">
        <v>13</v>
      </c>
      <c r="H676" t="s">
        <v>13</v>
      </c>
      <c r="I676" t="s">
        <v>14</v>
      </c>
      <c r="J676" t="s">
        <v>27</v>
      </c>
      <c r="K676" t="s">
        <v>21</v>
      </c>
      <c r="L676" t="s">
        <v>17</v>
      </c>
    </row>
    <row r="677" spans="1:12" x14ac:dyDescent="0.25">
      <c r="A677" t="s">
        <v>1375</v>
      </c>
      <c r="B677">
        <v>1</v>
      </c>
      <c r="C677" s="1">
        <v>44550</v>
      </c>
      <c r="D677" s="2">
        <v>0.43263888888888885</v>
      </c>
      <c r="E677" t="s">
        <v>1376</v>
      </c>
      <c r="F677" t="s">
        <v>13</v>
      </c>
      <c r="G677" t="s">
        <v>13</v>
      </c>
      <c r="H677" t="s">
        <v>13</v>
      </c>
      <c r="I677" t="s">
        <v>14</v>
      </c>
      <c r="J677" t="s">
        <v>27</v>
      </c>
      <c r="K677" t="s">
        <v>28</v>
      </c>
      <c r="L677" t="s">
        <v>17</v>
      </c>
    </row>
    <row r="678" spans="1:12" x14ac:dyDescent="0.25">
      <c r="A678" t="s">
        <v>1377</v>
      </c>
      <c r="B678">
        <v>1</v>
      </c>
      <c r="C678" s="1">
        <v>44550</v>
      </c>
      <c r="D678" s="2">
        <v>0.4291666666666667</v>
      </c>
      <c r="E678" t="s">
        <v>1378</v>
      </c>
      <c r="F678" t="s">
        <v>13</v>
      </c>
      <c r="G678" t="s">
        <v>13</v>
      </c>
      <c r="H678" t="s">
        <v>13</v>
      </c>
      <c r="I678" t="s">
        <v>14</v>
      </c>
      <c r="J678" t="s">
        <v>27</v>
      </c>
      <c r="K678" t="s">
        <v>21</v>
      </c>
      <c r="L678" t="s">
        <v>17</v>
      </c>
    </row>
    <row r="679" spans="1:12" x14ac:dyDescent="0.25">
      <c r="A679" t="s">
        <v>1379</v>
      </c>
      <c r="B679">
        <v>1</v>
      </c>
      <c r="C679" s="1">
        <v>44549</v>
      </c>
      <c r="D679" s="2">
        <v>0.37638888888888888</v>
      </c>
      <c r="E679" t="s">
        <v>1380</v>
      </c>
      <c r="F679" t="s">
        <v>13</v>
      </c>
      <c r="G679" t="s">
        <v>13</v>
      </c>
      <c r="H679" t="s">
        <v>13</v>
      </c>
      <c r="I679" t="s">
        <v>14</v>
      </c>
      <c r="J679" t="s">
        <v>27</v>
      </c>
      <c r="K679" t="s">
        <v>28</v>
      </c>
      <c r="L679" t="s">
        <v>17</v>
      </c>
    </row>
    <row r="680" spans="1:12" x14ac:dyDescent="0.25">
      <c r="A680" t="s">
        <v>1381</v>
      </c>
      <c r="B680">
        <v>4</v>
      </c>
      <c r="C680" s="1">
        <v>44549</v>
      </c>
      <c r="D680" s="2">
        <v>0.34097222222222223</v>
      </c>
      <c r="E680" t="s">
        <v>1382</v>
      </c>
      <c r="F680" t="s">
        <v>31</v>
      </c>
      <c r="G680" t="s">
        <v>31</v>
      </c>
      <c r="H680" t="s">
        <v>31</v>
      </c>
      <c r="I680" t="s">
        <v>32</v>
      </c>
      <c r="J680" t="s">
        <v>27</v>
      </c>
      <c r="K680" t="s">
        <v>21</v>
      </c>
      <c r="L680" t="s">
        <v>33</v>
      </c>
    </row>
    <row r="681" spans="1:12" x14ac:dyDescent="0.25">
      <c r="A681" t="s">
        <v>1383</v>
      </c>
      <c r="B681">
        <v>1</v>
      </c>
      <c r="C681" s="1">
        <v>44549</v>
      </c>
      <c r="D681" s="2">
        <v>0.26805555555555555</v>
      </c>
      <c r="E681" t="s">
        <v>1384</v>
      </c>
      <c r="F681" t="s">
        <v>31</v>
      </c>
      <c r="G681" t="s">
        <v>31</v>
      </c>
      <c r="H681" t="s">
        <v>31</v>
      </c>
      <c r="I681" t="s">
        <v>32</v>
      </c>
      <c r="J681" t="s">
        <v>27</v>
      </c>
      <c r="K681" t="s">
        <v>21</v>
      </c>
      <c r="L681" t="s">
        <v>33</v>
      </c>
    </row>
    <row r="682" spans="1:12" x14ac:dyDescent="0.25">
      <c r="A682" t="s">
        <v>1385</v>
      </c>
      <c r="B682">
        <v>1</v>
      </c>
      <c r="C682" s="1">
        <v>44549</v>
      </c>
      <c r="D682" s="2">
        <v>0.24236111111111111</v>
      </c>
      <c r="E682" t="s">
        <v>1386</v>
      </c>
      <c r="F682" t="s">
        <v>31</v>
      </c>
      <c r="G682" t="s">
        <v>31</v>
      </c>
      <c r="H682" t="s">
        <v>31</v>
      </c>
      <c r="I682" t="s">
        <v>32</v>
      </c>
      <c r="J682" t="s">
        <v>27</v>
      </c>
      <c r="K682" t="s">
        <v>28</v>
      </c>
      <c r="L682" t="s">
        <v>33</v>
      </c>
    </row>
    <row r="683" spans="1:12" x14ac:dyDescent="0.25">
      <c r="A683" t="s">
        <v>1387</v>
      </c>
      <c r="B683">
        <v>1</v>
      </c>
      <c r="C683" s="1">
        <v>44549</v>
      </c>
      <c r="D683" s="2">
        <v>0.22916666666666666</v>
      </c>
      <c r="E683" t="s">
        <v>1388</v>
      </c>
      <c r="F683" t="s">
        <v>13</v>
      </c>
      <c r="G683" t="s">
        <v>13</v>
      </c>
      <c r="H683" t="s">
        <v>13</v>
      </c>
      <c r="I683" t="s">
        <v>14</v>
      </c>
      <c r="J683" t="s">
        <v>27</v>
      </c>
      <c r="K683" t="s">
        <v>21</v>
      </c>
      <c r="L683" t="s">
        <v>17</v>
      </c>
    </row>
    <row r="684" spans="1:12" x14ac:dyDescent="0.25">
      <c r="A684" t="s">
        <v>1389</v>
      </c>
      <c r="B684">
        <v>1</v>
      </c>
      <c r="C684" s="1">
        <v>44549</v>
      </c>
      <c r="D684" s="2">
        <v>0.14027777777777778</v>
      </c>
      <c r="E684" t="s">
        <v>1390</v>
      </c>
      <c r="F684" t="s">
        <v>13</v>
      </c>
      <c r="G684" t="s">
        <v>13</v>
      </c>
      <c r="H684" t="s">
        <v>13</v>
      </c>
      <c r="I684" t="s">
        <v>14</v>
      </c>
      <c r="J684" t="s">
        <v>27</v>
      </c>
      <c r="K684" t="s">
        <v>21</v>
      </c>
      <c r="L684" t="s">
        <v>17</v>
      </c>
    </row>
    <row r="685" spans="1:12" x14ac:dyDescent="0.25">
      <c r="A685" t="s">
        <v>1391</v>
      </c>
      <c r="B685">
        <v>1</v>
      </c>
      <c r="C685" s="1">
        <v>44549</v>
      </c>
      <c r="D685" s="2">
        <v>0.10833333333333334</v>
      </c>
      <c r="E685" t="s">
        <v>1392</v>
      </c>
      <c r="F685" t="s">
        <v>13</v>
      </c>
      <c r="G685" t="s">
        <v>13</v>
      </c>
      <c r="H685" t="s">
        <v>13</v>
      </c>
      <c r="I685" t="s">
        <v>14</v>
      </c>
      <c r="J685" t="s">
        <v>27</v>
      </c>
      <c r="K685" t="s">
        <v>16</v>
      </c>
      <c r="L685" t="s">
        <v>17</v>
      </c>
    </row>
    <row r="686" spans="1:12" x14ac:dyDescent="0.25">
      <c r="A686" t="s">
        <v>1393</v>
      </c>
      <c r="B686">
        <v>1</v>
      </c>
      <c r="C686" s="1">
        <v>44549</v>
      </c>
      <c r="D686" s="2">
        <v>0.93611111111111101</v>
      </c>
      <c r="E686" t="s">
        <v>1394</v>
      </c>
      <c r="F686" t="s">
        <v>13</v>
      </c>
      <c r="G686" t="s">
        <v>13</v>
      </c>
      <c r="H686" t="s">
        <v>13</v>
      </c>
      <c r="I686" t="s">
        <v>14</v>
      </c>
      <c r="J686" t="s">
        <v>27</v>
      </c>
      <c r="K686" t="s">
        <v>16</v>
      </c>
      <c r="L686" t="s">
        <v>17</v>
      </c>
    </row>
    <row r="687" spans="1:12" x14ac:dyDescent="0.25">
      <c r="A687" t="s">
        <v>1395</v>
      </c>
      <c r="B687">
        <v>1</v>
      </c>
      <c r="C687" s="1">
        <v>44549</v>
      </c>
      <c r="D687" s="2">
        <v>0.89236111111111116</v>
      </c>
      <c r="E687" t="s">
        <v>1396</v>
      </c>
      <c r="F687" t="s">
        <v>13</v>
      </c>
      <c r="G687" t="s">
        <v>13</v>
      </c>
      <c r="H687" t="s">
        <v>13</v>
      </c>
      <c r="I687" t="s">
        <v>14</v>
      </c>
      <c r="J687" t="s">
        <v>27</v>
      </c>
      <c r="K687" t="s">
        <v>21</v>
      </c>
      <c r="L687" t="s">
        <v>17</v>
      </c>
    </row>
    <row r="688" spans="1:12" x14ac:dyDescent="0.25">
      <c r="A688" t="s">
        <v>1397</v>
      </c>
      <c r="B688">
        <v>1</v>
      </c>
      <c r="C688" s="1">
        <v>44549</v>
      </c>
      <c r="D688" s="2">
        <v>7.8472222222222221E-2</v>
      </c>
      <c r="E688" t="s">
        <v>1398</v>
      </c>
      <c r="F688" t="s">
        <v>13</v>
      </c>
      <c r="G688" t="s">
        <v>13</v>
      </c>
      <c r="H688" t="s">
        <v>13</v>
      </c>
      <c r="I688" t="s">
        <v>14</v>
      </c>
      <c r="J688" t="s">
        <v>27</v>
      </c>
      <c r="K688" t="s">
        <v>21</v>
      </c>
      <c r="L688" t="s">
        <v>17</v>
      </c>
    </row>
    <row r="689" spans="1:12" x14ac:dyDescent="0.25">
      <c r="A689" t="s">
        <v>1399</v>
      </c>
      <c r="B689">
        <v>1</v>
      </c>
      <c r="C689" s="1">
        <v>44549</v>
      </c>
      <c r="D689" s="2">
        <v>0.7090277777777777</v>
      </c>
      <c r="E689" t="s">
        <v>1400</v>
      </c>
      <c r="F689" t="s">
        <v>13</v>
      </c>
      <c r="G689" t="s">
        <v>13</v>
      </c>
      <c r="H689" t="s">
        <v>13</v>
      </c>
      <c r="I689" t="s">
        <v>14</v>
      </c>
      <c r="J689" t="s">
        <v>27</v>
      </c>
      <c r="K689" t="s">
        <v>21</v>
      </c>
      <c r="L689" t="s">
        <v>17</v>
      </c>
    </row>
    <row r="690" spans="1:12" x14ac:dyDescent="0.25">
      <c r="A690" t="s">
        <v>1401</v>
      </c>
      <c r="B690">
        <v>1</v>
      </c>
      <c r="C690" s="1">
        <v>44549</v>
      </c>
      <c r="D690" s="2">
        <v>0.63541666666666663</v>
      </c>
      <c r="E690" t="s">
        <v>1402</v>
      </c>
      <c r="F690" t="s">
        <v>13</v>
      </c>
      <c r="G690" t="s">
        <v>13</v>
      </c>
      <c r="H690" t="s">
        <v>13</v>
      </c>
      <c r="I690" t="s">
        <v>14</v>
      </c>
      <c r="J690" t="s">
        <v>27</v>
      </c>
      <c r="K690" t="s">
        <v>28</v>
      </c>
      <c r="L690" t="s">
        <v>17</v>
      </c>
    </row>
    <row r="691" spans="1:12" x14ac:dyDescent="0.25">
      <c r="A691" t="s">
        <v>1403</v>
      </c>
      <c r="B691">
        <v>5</v>
      </c>
      <c r="C691" s="1">
        <v>44549</v>
      </c>
      <c r="D691" s="2">
        <v>0.55069444444444449</v>
      </c>
      <c r="E691" t="s">
        <v>1404</v>
      </c>
      <c r="F691" t="s">
        <v>36</v>
      </c>
      <c r="G691" t="s">
        <v>36</v>
      </c>
      <c r="H691" t="s">
        <v>36</v>
      </c>
      <c r="I691" t="s">
        <v>13</v>
      </c>
      <c r="J691" t="s">
        <v>27</v>
      </c>
      <c r="K691" t="s">
        <v>28</v>
      </c>
      <c r="L691" t="s">
        <v>17</v>
      </c>
    </row>
    <row r="692" spans="1:12" x14ac:dyDescent="0.25">
      <c r="A692" t="s">
        <v>1405</v>
      </c>
      <c r="B692">
        <v>1</v>
      </c>
      <c r="C692" s="1">
        <v>44549</v>
      </c>
      <c r="D692" s="2">
        <v>0.51111111111111118</v>
      </c>
      <c r="E692" t="s">
        <v>1406</v>
      </c>
      <c r="F692" t="s">
        <v>13</v>
      </c>
      <c r="G692" t="s">
        <v>13</v>
      </c>
      <c r="H692" t="s">
        <v>13</v>
      </c>
      <c r="I692" t="s">
        <v>14</v>
      </c>
      <c r="J692" t="s">
        <v>27</v>
      </c>
      <c r="K692" t="s">
        <v>21</v>
      </c>
      <c r="L692" t="s">
        <v>17</v>
      </c>
    </row>
    <row r="693" spans="1:12" x14ac:dyDescent="0.25">
      <c r="A693" t="s">
        <v>1407</v>
      </c>
      <c r="B693">
        <v>1</v>
      </c>
      <c r="C693" s="1">
        <v>44549</v>
      </c>
      <c r="D693" s="2">
        <v>0.51041666666666663</v>
      </c>
      <c r="E693" t="s">
        <v>1408</v>
      </c>
      <c r="F693" t="s">
        <v>31</v>
      </c>
      <c r="G693" t="s">
        <v>31</v>
      </c>
      <c r="H693" t="s">
        <v>31</v>
      </c>
      <c r="I693" t="s">
        <v>32</v>
      </c>
      <c r="J693" t="s">
        <v>27</v>
      </c>
      <c r="K693" t="s">
        <v>16</v>
      </c>
      <c r="L693" t="s">
        <v>33</v>
      </c>
    </row>
    <row r="694" spans="1:12" x14ac:dyDescent="0.25">
      <c r="A694" t="s">
        <v>1409</v>
      </c>
      <c r="B694">
        <v>1</v>
      </c>
      <c r="C694" s="1">
        <v>44549</v>
      </c>
      <c r="D694" s="2">
        <v>3.4027777777777775E-2</v>
      </c>
      <c r="E694" t="s">
        <v>1410</v>
      </c>
      <c r="F694" t="s">
        <v>13</v>
      </c>
      <c r="G694" t="s">
        <v>13</v>
      </c>
      <c r="H694" t="s">
        <v>13</v>
      </c>
      <c r="I694" t="s">
        <v>14</v>
      </c>
      <c r="J694" t="s">
        <v>27</v>
      </c>
      <c r="K694" t="s">
        <v>28</v>
      </c>
      <c r="L694" t="s">
        <v>17</v>
      </c>
    </row>
    <row r="695" spans="1:12" x14ac:dyDescent="0.25">
      <c r="A695" t="s">
        <v>1411</v>
      </c>
      <c r="B695">
        <v>2</v>
      </c>
      <c r="C695" s="1">
        <v>44548</v>
      </c>
      <c r="D695" s="2">
        <v>0.36041666666666666</v>
      </c>
      <c r="E695" t="s">
        <v>1412</v>
      </c>
      <c r="F695" t="s">
        <v>31</v>
      </c>
      <c r="G695" t="s">
        <v>31</v>
      </c>
      <c r="H695" t="s">
        <v>31</v>
      </c>
      <c r="I695" t="s">
        <v>32</v>
      </c>
      <c r="J695" t="s">
        <v>27</v>
      </c>
      <c r="K695" t="s">
        <v>28</v>
      </c>
      <c r="L695" t="s">
        <v>33</v>
      </c>
    </row>
    <row r="696" spans="1:12" x14ac:dyDescent="0.25">
      <c r="A696" t="s">
        <v>1413</v>
      </c>
      <c r="B696">
        <v>2</v>
      </c>
      <c r="C696" s="1">
        <v>44548</v>
      </c>
      <c r="D696" s="2">
        <v>0.20555555555555557</v>
      </c>
      <c r="E696" t="s">
        <v>1414</v>
      </c>
      <c r="F696" t="s">
        <v>31</v>
      </c>
      <c r="G696" t="s">
        <v>31</v>
      </c>
      <c r="H696" t="s">
        <v>31</v>
      </c>
      <c r="I696" t="s">
        <v>32</v>
      </c>
      <c r="J696" t="s">
        <v>27</v>
      </c>
      <c r="K696" t="s">
        <v>28</v>
      </c>
      <c r="L696" t="s">
        <v>33</v>
      </c>
    </row>
    <row r="697" spans="1:12" x14ac:dyDescent="0.25">
      <c r="A697" t="s">
        <v>1415</v>
      </c>
      <c r="B697">
        <v>3</v>
      </c>
      <c r="C697" s="1">
        <v>44548</v>
      </c>
      <c r="D697" s="2">
        <v>0.74722222222222223</v>
      </c>
      <c r="E697" t="s">
        <v>1416</v>
      </c>
      <c r="F697" t="s">
        <v>36</v>
      </c>
      <c r="G697" t="s">
        <v>36</v>
      </c>
      <c r="H697" t="s">
        <v>36</v>
      </c>
      <c r="I697" t="s">
        <v>13</v>
      </c>
      <c r="J697" t="s">
        <v>27</v>
      </c>
      <c r="K697" t="s">
        <v>21</v>
      </c>
      <c r="L697" t="s">
        <v>17</v>
      </c>
    </row>
    <row r="698" spans="1:12" x14ac:dyDescent="0.25">
      <c r="A698" t="s">
        <v>1417</v>
      </c>
      <c r="B698">
        <v>1</v>
      </c>
      <c r="C698" s="1">
        <v>44548</v>
      </c>
      <c r="D698" s="2">
        <v>0.73541666666666661</v>
      </c>
      <c r="E698" t="s">
        <v>1418</v>
      </c>
      <c r="F698" t="s">
        <v>13</v>
      </c>
      <c r="G698" t="s">
        <v>13</v>
      </c>
      <c r="H698" t="s">
        <v>13</v>
      </c>
      <c r="I698" t="s">
        <v>14</v>
      </c>
      <c r="J698" t="s">
        <v>27</v>
      </c>
      <c r="K698" t="s">
        <v>21</v>
      </c>
      <c r="L698" t="s">
        <v>17</v>
      </c>
    </row>
    <row r="699" spans="1:12" x14ac:dyDescent="0.25">
      <c r="A699" t="s">
        <v>1419</v>
      </c>
      <c r="B699">
        <v>1</v>
      </c>
      <c r="C699" s="1">
        <v>44548</v>
      </c>
      <c r="D699" s="2">
        <v>0.65138888888888891</v>
      </c>
      <c r="E699" t="s">
        <v>1420</v>
      </c>
      <c r="F699" t="s">
        <v>13</v>
      </c>
      <c r="G699" t="s">
        <v>13</v>
      </c>
      <c r="H699" t="s">
        <v>13</v>
      </c>
      <c r="I699" t="s">
        <v>14</v>
      </c>
      <c r="J699" t="s">
        <v>27</v>
      </c>
      <c r="K699" t="s">
        <v>21</v>
      </c>
      <c r="L699" t="s">
        <v>17</v>
      </c>
    </row>
    <row r="700" spans="1:12" x14ac:dyDescent="0.25">
      <c r="A700" t="s">
        <v>1421</v>
      </c>
      <c r="B700">
        <v>1</v>
      </c>
      <c r="C700" s="1">
        <v>44548</v>
      </c>
      <c r="D700" s="2">
        <v>0.62430555555555556</v>
      </c>
      <c r="E700" t="s">
        <v>1422</v>
      </c>
      <c r="F700" t="s">
        <v>13</v>
      </c>
      <c r="G700" t="s">
        <v>13</v>
      </c>
      <c r="H700" t="s">
        <v>13</v>
      </c>
      <c r="I700" t="s">
        <v>14</v>
      </c>
      <c r="J700" t="s">
        <v>27</v>
      </c>
      <c r="K700" t="s">
        <v>21</v>
      </c>
      <c r="L700" t="s">
        <v>17</v>
      </c>
    </row>
    <row r="701" spans="1:12" x14ac:dyDescent="0.25">
      <c r="A701" t="s">
        <v>1423</v>
      </c>
      <c r="B701">
        <v>5</v>
      </c>
      <c r="C701" s="1">
        <v>44548</v>
      </c>
      <c r="D701" s="2">
        <v>0.52013888888888882</v>
      </c>
      <c r="E701" t="s">
        <v>1424</v>
      </c>
      <c r="F701" t="s">
        <v>36</v>
      </c>
      <c r="G701" t="s">
        <v>36</v>
      </c>
      <c r="H701" t="s">
        <v>36</v>
      </c>
      <c r="I701" t="s">
        <v>13</v>
      </c>
      <c r="J701" t="s">
        <v>27</v>
      </c>
      <c r="K701" t="s">
        <v>21</v>
      </c>
      <c r="L701" t="s">
        <v>17</v>
      </c>
    </row>
    <row r="702" spans="1:12" x14ac:dyDescent="0.25">
      <c r="A702" t="s">
        <v>1425</v>
      </c>
      <c r="B702">
        <v>5</v>
      </c>
      <c r="C702" s="1">
        <v>44547</v>
      </c>
      <c r="D702" s="2">
        <v>0.37083333333333335</v>
      </c>
      <c r="E702" t="s">
        <v>1426</v>
      </c>
      <c r="F702" t="s">
        <v>36</v>
      </c>
      <c r="G702" t="s">
        <v>36</v>
      </c>
      <c r="H702" t="s">
        <v>36</v>
      </c>
      <c r="I702" t="s">
        <v>13</v>
      </c>
      <c r="J702" t="s">
        <v>27</v>
      </c>
      <c r="K702" t="s">
        <v>28</v>
      </c>
      <c r="L702" t="s">
        <v>17</v>
      </c>
    </row>
    <row r="703" spans="1:12" x14ac:dyDescent="0.25">
      <c r="A703" t="s">
        <v>1427</v>
      </c>
      <c r="B703">
        <v>1</v>
      </c>
      <c r="C703" s="1">
        <v>44547</v>
      </c>
      <c r="D703" s="2">
        <v>0.35972222222222222</v>
      </c>
      <c r="E703" t="s">
        <v>1428</v>
      </c>
      <c r="F703" t="s">
        <v>31</v>
      </c>
      <c r="G703" t="s">
        <v>31</v>
      </c>
      <c r="H703" t="s">
        <v>31</v>
      </c>
      <c r="I703" t="s">
        <v>32</v>
      </c>
      <c r="J703" t="s">
        <v>27</v>
      </c>
      <c r="K703" t="s">
        <v>16</v>
      </c>
      <c r="L703" t="s">
        <v>33</v>
      </c>
    </row>
    <row r="704" spans="1:12" x14ac:dyDescent="0.25">
      <c r="A704" t="s">
        <v>1429</v>
      </c>
      <c r="B704">
        <v>3</v>
      </c>
      <c r="C704" s="1">
        <v>44547</v>
      </c>
      <c r="D704" s="2">
        <v>0.30624999999999997</v>
      </c>
      <c r="E704" t="s">
        <v>1430</v>
      </c>
      <c r="F704" t="s">
        <v>31</v>
      </c>
      <c r="G704" t="s">
        <v>31</v>
      </c>
      <c r="H704" t="s">
        <v>31</v>
      </c>
      <c r="I704" t="s">
        <v>32</v>
      </c>
      <c r="J704" t="s">
        <v>27</v>
      </c>
      <c r="K704" t="s">
        <v>16</v>
      </c>
      <c r="L704" t="s">
        <v>33</v>
      </c>
    </row>
    <row r="705" spans="1:12" x14ac:dyDescent="0.25">
      <c r="A705" t="s">
        <v>1431</v>
      </c>
      <c r="B705">
        <v>1</v>
      </c>
      <c r="C705" s="1">
        <v>44547</v>
      </c>
      <c r="D705" s="2">
        <v>0.27430555555555552</v>
      </c>
      <c r="E705" t="s">
        <v>1432</v>
      </c>
      <c r="F705" t="s">
        <v>31</v>
      </c>
      <c r="G705" t="s">
        <v>31</v>
      </c>
      <c r="H705" t="s">
        <v>31</v>
      </c>
      <c r="I705" t="s">
        <v>32</v>
      </c>
      <c r="J705" t="s">
        <v>27</v>
      </c>
      <c r="K705" t="s">
        <v>21</v>
      </c>
      <c r="L705" t="s">
        <v>33</v>
      </c>
    </row>
    <row r="706" spans="1:12" x14ac:dyDescent="0.25">
      <c r="A706" t="s">
        <v>1433</v>
      </c>
      <c r="B706">
        <v>3</v>
      </c>
      <c r="C706" s="1">
        <v>44547</v>
      </c>
      <c r="D706" s="2">
        <v>0.25625000000000003</v>
      </c>
      <c r="E706" t="s">
        <v>1434</v>
      </c>
      <c r="F706" t="s">
        <v>31</v>
      </c>
      <c r="G706" t="s">
        <v>31</v>
      </c>
      <c r="H706" t="s">
        <v>31</v>
      </c>
      <c r="I706" t="s">
        <v>32</v>
      </c>
      <c r="J706" t="s">
        <v>27</v>
      </c>
      <c r="K706" t="s">
        <v>16</v>
      </c>
      <c r="L706" t="s">
        <v>33</v>
      </c>
    </row>
    <row r="707" spans="1:12" x14ac:dyDescent="0.25">
      <c r="A707" t="s">
        <v>1435</v>
      </c>
      <c r="B707">
        <v>2</v>
      </c>
      <c r="C707" s="1">
        <v>44547</v>
      </c>
      <c r="D707" s="2">
        <v>0.20347222222222219</v>
      </c>
      <c r="E707" t="s">
        <v>1436</v>
      </c>
      <c r="F707" t="s">
        <v>31</v>
      </c>
      <c r="G707" t="s">
        <v>31</v>
      </c>
      <c r="H707" t="s">
        <v>31</v>
      </c>
      <c r="I707" t="s">
        <v>32</v>
      </c>
      <c r="J707" t="s">
        <v>27</v>
      </c>
      <c r="K707" t="s">
        <v>21</v>
      </c>
      <c r="L707" t="s">
        <v>33</v>
      </c>
    </row>
    <row r="708" spans="1:12" x14ac:dyDescent="0.25">
      <c r="A708" t="s">
        <v>1437</v>
      </c>
      <c r="B708">
        <v>2</v>
      </c>
      <c r="C708" s="1">
        <v>44547</v>
      </c>
      <c r="D708" s="2">
        <v>0.71736111111111101</v>
      </c>
      <c r="E708" t="s">
        <v>1438</v>
      </c>
      <c r="F708" t="s">
        <v>13</v>
      </c>
      <c r="G708" t="s">
        <v>13</v>
      </c>
      <c r="H708" t="s">
        <v>13</v>
      </c>
      <c r="I708" t="s">
        <v>14</v>
      </c>
      <c r="J708" t="s">
        <v>27</v>
      </c>
      <c r="K708" t="s">
        <v>16</v>
      </c>
      <c r="L708" t="s">
        <v>17</v>
      </c>
    </row>
    <row r="709" spans="1:12" x14ac:dyDescent="0.25">
      <c r="A709" t="s">
        <v>1439</v>
      </c>
      <c r="B709">
        <v>1</v>
      </c>
      <c r="C709" s="1">
        <v>44547</v>
      </c>
      <c r="D709" s="2">
        <v>0.68055555555555547</v>
      </c>
      <c r="E709" t="s">
        <v>1440</v>
      </c>
      <c r="F709" t="s">
        <v>13</v>
      </c>
      <c r="G709" t="s">
        <v>13</v>
      </c>
      <c r="H709" t="s">
        <v>13</v>
      </c>
      <c r="I709" t="s">
        <v>14</v>
      </c>
      <c r="J709" t="s">
        <v>27</v>
      </c>
      <c r="K709" t="s">
        <v>21</v>
      </c>
      <c r="L709" t="s">
        <v>17</v>
      </c>
    </row>
    <row r="710" spans="1:12" x14ac:dyDescent="0.25">
      <c r="A710" t="s">
        <v>1441</v>
      </c>
      <c r="B710">
        <v>1</v>
      </c>
      <c r="C710" s="1">
        <v>44547</v>
      </c>
      <c r="D710" s="2">
        <v>0.63611111111111118</v>
      </c>
      <c r="E710" t="s">
        <v>1442</v>
      </c>
      <c r="F710" t="s">
        <v>13</v>
      </c>
      <c r="G710" t="s">
        <v>13</v>
      </c>
      <c r="H710" t="s">
        <v>13</v>
      </c>
      <c r="I710" t="s">
        <v>14</v>
      </c>
      <c r="J710" t="s">
        <v>27</v>
      </c>
      <c r="K710" t="s">
        <v>21</v>
      </c>
      <c r="L710" t="s">
        <v>17</v>
      </c>
    </row>
    <row r="711" spans="1:12" x14ac:dyDescent="0.25">
      <c r="A711" t="s">
        <v>1443</v>
      </c>
      <c r="B711">
        <v>2</v>
      </c>
      <c r="C711" s="1">
        <v>44547</v>
      </c>
      <c r="D711" s="2">
        <v>0.60138888888888886</v>
      </c>
      <c r="E711" t="s">
        <v>1444</v>
      </c>
      <c r="F711" t="s">
        <v>13</v>
      </c>
      <c r="G711" t="s">
        <v>13</v>
      </c>
      <c r="H711" t="s">
        <v>13</v>
      </c>
      <c r="I711" t="s">
        <v>14</v>
      </c>
      <c r="J711" t="s">
        <v>27</v>
      </c>
      <c r="K711" t="s">
        <v>28</v>
      </c>
      <c r="L711" t="s">
        <v>17</v>
      </c>
    </row>
    <row r="712" spans="1:12" x14ac:dyDescent="0.25">
      <c r="A712" t="s">
        <v>1445</v>
      </c>
      <c r="B712">
        <v>2</v>
      </c>
      <c r="C712" s="1">
        <v>44547</v>
      </c>
      <c r="D712" s="2">
        <v>0.58194444444444449</v>
      </c>
      <c r="E712" t="s">
        <v>1446</v>
      </c>
      <c r="F712" t="s">
        <v>13</v>
      </c>
      <c r="G712" t="s">
        <v>13</v>
      </c>
      <c r="H712" t="s">
        <v>13</v>
      </c>
      <c r="I712" t="s">
        <v>14</v>
      </c>
      <c r="J712" t="s">
        <v>27</v>
      </c>
      <c r="K712" t="s">
        <v>21</v>
      </c>
      <c r="L712" t="s">
        <v>17</v>
      </c>
    </row>
    <row r="713" spans="1:12" x14ac:dyDescent="0.25">
      <c r="A713" t="s">
        <v>1447</v>
      </c>
      <c r="B713">
        <v>3</v>
      </c>
      <c r="C713" s="1">
        <v>44546</v>
      </c>
      <c r="D713" s="2">
        <v>0.27777777777777779</v>
      </c>
      <c r="E713" t="s">
        <v>1448</v>
      </c>
      <c r="F713" t="s">
        <v>36</v>
      </c>
      <c r="G713" t="s">
        <v>36</v>
      </c>
      <c r="H713" t="s">
        <v>36</v>
      </c>
      <c r="I713" t="s">
        <v>13</v>
      </c>
      <c r="J713" t="s">
        <v>27</v>
      </c>
      <c r="K713" t="s">
        <v>21</v>
      </c>
      <c r="L713" t="s">
        <v>17</v>
      </c>
    </row>
    <row r="714" spans="1:12" x14ac:dyDescent="0.25">
      <c r="A714" t="s">
        <v>1449</v>
      </c>
      <c r="B714">
        <v>1</v>
      </c>
      <c r="C714" s="1">
        <v>44546</v>
      </c>
      <c r="D714" s="2">
        <v>0.75486111111111109</v>
      </c>
      <c r="E714" t="s">
        <v>1450</v>
      </c>
      <c r="F714" t="s">
        <v>13</v>
      </c>
      <c r="G714" t="s">
        <v>13</v>
      </c>
      <c r="H714" t="s">
        <v>13</v>
      </c>
      <c r="I714" t="s">
        <v>14</v>
      </c>
      <c r="J714" t="s">
        <v>27</v>
      </c>
      <c r="K714" t="s">
        <v>28</v>
      </c>
      <c r="L714" t="s">
        <v>17</v>
      </c>
    </row>
    <row r="715" spans="1:12" x14ac:dyDescent="0.25">
      <c r="A715" t="s">
        <v>1451</v>
      </c>
      <c r="B715">
        <v>2</v>
      </c>
      <c r="C715" s="1">
        <v>44546</v>
      </c>
      <c r="D715" s="2">
        <v>0.63958333333333328</v>
      </c>
      <c r="E715" t="s">
        <v>1452</v>
      </c>
      <c r="F715" t="s">
        <v>13</v>
      </c>
      <c r="G715" t="s">
        <v>13</v>
      </c>
      <c r="H715" t="s">
        <v>13</v>
      </c>
      <c r="I715" t="s">
        <v>14</v>
      </c>
      <c r="J715" t="s">
        <v>27</v>
      </c>
      <c r="K715" t="s">
        <v>21</v>
      </c>
      <c r="L715" t="s">
        <v>17</v>
      </c>
    </row>
    <row r="716" spans="1:12" x14ac:dyDescent="0.25">
      <c r="A716" t="s">
        <v>1453</v>
      </c>
      <c r="B716">
        <v>5</v>
      </c>
      <c r="C716" s="1">
        <v>44546</v>
      </c>
      <c r="D716" s="2">
        <v>0.47569444444444442</v>
      </c>
      <c r="E716" t="s">
        <v>1454</v>
      </c>
      <c r="F716" t="s">
        <v>31</v>
      </c>
      <c r="G716" t="s">
        <v>31</v>
      </c>
      <c r="H716" t="s">
        <v>31</v>
      </c>
      <c r="I716" t="s">
        <v>32</v>
      </c>
      <c r="J716" t="s">
        <v>27</v>
      </c>
      <c r="K716" t="s">
        <v>21</v>
      </c>
      <c r="L716" t="s">
        <v>33</v>
      </c>
    </row>
    <row r="717" spans="1:12" x14ac:dyDescent="0.25">
      <c r="A717" t="s">
        <v>1455</v>
      </c>
      <c r="B717">
        <v>1</v>
      </c>
      <c r="C717" s="1">
        <v>44546</v>
      </c>
      <c r="D717" s="2">
        <v>2.9166666666666664E-2</v>
      </c>
      <c r="E717" t="s">
        <v>1456</v>
      </c>
      <c r="F717" t="s">
        <v>13</v>
      </c>
      <c r="G717" t="s">
        <v>13</v>
      </c>
      <c r="H717" t="s">
        <v>13</v>
      </c>
      <c r="I717" t="s">
        <v>14</v>
      </c>
      <c r="J717" t="s">
        <v>27</v>
      </c>
      <c r="K717" t="s">
        <v>21</v>
      </c>
      <c r="L717" t="s">
        <v>17</v>
      </c>
    </row>
    <row r="718" spans="1:12" x14ac:dyDescent="0.25">
      <c r="A718" t="s">
        <v>1457</v>
      </c>
      <c r="B718">
        <v>1</v>
      </c>
      <c r="C718" s="1">
        <v>44545</v>
      </c>
      <c r="D718" s="2">
        <v>0.40416666666666662</v>
      </c>
      <c r="E718" t="s">
        <v>1458</v>
      </c>
      <c r="F718" t="s">
        <v>13</v>
      </c>
      <c r="G718" t="s">
        <v>13</v>
      </c>
      <c r="H718" t="s">
        <v>13</v>
      </c>
      <c r="I718" t="s">
        <v>14</v>
      </c>
      <c r="J718" t="s">
        <v>27</v>
      </c>
      <c r="K718" t="s">
        <v>21</v>
      </c>
      <c r="L718" t="s">
        <v>17</v>
      </c>
    </row>
    <row r="719" spans="1:12" x14ac:dyDescent="0.25">
      <c r="A719" t="s">
        <v>1459</v>
      </c>
      <c r="B719">
        <v>1</v>
      </c>
      <c r="C719" s="1">
        <v>44545</v>
      </c>
      <c r="D719" s="2">
        <v>0.32777777777777778</v>
      </c>
      <c r="E719" t="s">
        <v>1460</v>
      </c>
      <c r="F719" t="s">
        <v>13</v>
      </c>
      <c r="G719" t="s">
        <v>13</v>
      </c>
      <c r="H719" t="s">
        <v>13</v>
      </c>
      <c r="I719" t="s">
        <v>14</v>
      </c>
      <c r="J719" t="s">
        <v>27</v>
      </c>
      <c r="K719" t="s">
        <v>21</v>
      </c>
      <c r="L719" t="s">
        <v>17</v>
      </c>
    </row>
    <row r="720" spans="1:12" x14ac:dyDescent="0.25">
      <c r="A720" t="s">
        <v>1461</v>
      </c>
      <c r="B720">
        <v>2</v>
      </c>
      <c r="C720" s="1">
        <v>44545</v>
      </c>
      <c r="D720" s="2">
        <v>0.3263888888888889</v>
      </c>
      <c r="E720" t="s">
        <v>1462</v>
      </c>
      <c r="F720" t="s">
        <v>31</v>
      </c>
      <c r="G720" t="s">
        <v>31</v>
      </c>
      <c r="H720" t="s">
        <v>31</v>
      </c>
      <c r="I720" t="s">
        <v>32</v>
      </c>
      <c r="J720" t="s">
        <v>27</v>
      </c>
      <c r="K720" t="s">
        <v>28</v>
      </c>
      <c r="L720" t="s">
        <v>33</v>
      </c>
    </row>
    <row r="721" spans="1:12" x14ac:dyDescent="0.25">
      <c r="A721" t="s">
        <v>1463</v>
      </c>
      <c r="B721">
        <v>1</v>
      </c>
      <c r="C721" s="1">
        <v>44545</v>
      </c>
      <c r="D721" s="2">
        <v>0.24791666666666667</v>
      </c>
      <c r="E721" t="s">
        <v>1464</v>
      </c>
      <c r="F721" t="s">
        <v>13</v>
      </c>
      <c r="G721" t="s">
        <v>13</v>
      </c>
      <c r="H721" t="s">
        <v>13</v>
      </c>
      <c r="I721" t="s">
        <v>14</v>
      </c>
      <c r="J721" t="s">
        <v>27</v>
      </c>
      <c r="K721" t="s">
        <v>21</v>
      </c>
      <c r="L721" t="s">
        <v>17</v>
      </c>
    </row>
    <row r="722" spans="1:12" x14ac:dyDescent="0.25">
      <c r="A722" t="s">
        <v>1465</v>
      </c>
      <c r="B722">
        <v>1</v>
      </c>
      <c r="C722" s="1">
        <v>44545</v>
      </c>
      <c r="D722" s="2">
        <v>0.21319444444444444</v>
      </c>
      <c r="E722" t="s">
        <v>1466</v>
      </c>
      <c r="F722" t="s">
        <v>13</v>
      </c>
      <c r="G722" t="s">
        <v>13</v>
      </c>
      <c r="H722" t="s">
        <v>13</v>
      </c>
      <c r="I722" t="s">
        <v>14</v>
      </c>
      <c r="J722" t="s">
        <v>27</v>
      </c>
      <c r="K722" t="s">
        <v>21</v>
      </c>
      <c r="L722" t="s">
        <v>17</v>
      </c>
    </row>
    <row r="723" spans="1:12" x14ac:dyDescent="0.25">
      <c r="A723" t="s">
        <v>1467</v>
      </c>
      <c r="B723">
        <v>1</v>
      </c>
      <c r="C723" s="1">
        <v>44545</v>
      </c>
      <c r="D723" s="2">
        <v>0.13749999999999998</v>
      </c>
      <c r="E723" t="s">
        <v>1468</v>
      </c>
      <c r="F723" t="s">
        <v>13</v>
      </c>
      <c r="G723" t="s">
        <v>13</v>
      </c>
      <c r="H723" t="s">
        <v>13</v>
      </c>
      <c r="I723" t="s">
        <v>14</v>
      </c>
      <c r="J723" t="s">
        <v>27</v>
      </c>
      <c r="K723" t="s">
        <v>21</v>
      </c>
      <c r="L723" t="s">
        <v>17</v>
      </c>
    </row>
    <row r="724" spans="1:12" x14ac:dyDescent="0.25">
      <c r="A724" t="s">
        <v>1469</v>
      </c>
      <c r="B724">
        <v>1</v>
      </c>
      <c r="C724" s="1">
        <v>44545</v>
      </c>
      <c r="D724" s="2">
        <v>0.91805555555555562</v>
      </c>
      <c r="E724" t="s">
        <v>1470</v>
      </c>
      <c r="F724" t="s">
        <v>13</v>
      </c>
      <c r="G724" t="s">
        <v>13</v>
      </c>
      <c r="H724" t="s">
        <v>13</v>
      </c>
      <c r="I724" t="s">
        <v>14</v>
      </c>
      <c r="J724" t="s">
        <v>27</v>
      </c>
      <c r="K724" t="s">
        <v>21</v>
      </c>
      <c r="L724" t="s">
        <v>17</v>
      </c>
    </row>
    <row r="725" spans="1:12" x14ac:dyDescent="0.25">
      <c r="A725" t="s">
        <v>1471</v>
      </c>
      <c r="B725">
        <v>1</v>
      </c>
      <c r="C725" s="1">
        <v>44545</v>
      </c>
      <c r="D725" s="2">
        <v>0.46458333333333335</v>
      </c>
      <c r="E725" t="s">
        <v>1472</v>
      </c>
      <c r="F725" t="s">
        <v>13</v>
      </c>
      <c r="G725" t="s">
        <v>13</v>
      </c>
      <c r="H725" t="s">
        <v>13</v>
      </c>
      <c r="I725" t="s">
        <v>14</v>
      </c>
      <c r="J725" t="s">
        <v>27</v>
      </c>
      <c r="K725" t="s">
        <v>21</v>
      </c>
      <c r="L725" t="s">
        <v>17</v>
      </c>
    </row>
    <row r="726" spans="1:12" x14ac:dyDescent="0.25">
      <c r="A726" t="s">
        <v>1473</v>
      </c>
      <c r="B726">
        <v>1</v>
      </c>
      <c r="C726" s="1">
        <v>44544</v>
      </c>
      <c r="D726" s="2">
        <v>0.40069444444444446</v>
      </c>
      <c r="E726" t="s">
        <v>1474</v>
      </c>
      <c r="F726" t="s">
        <v>31</v>
      </c>
      <c r="G726" t="s">
        <v>31</v>
      </c>
      <c r="H726" t="s">
        <v>31</v>
      </c>
      <c r="I726" t="s">
        <v>32</v>
      </c>
      <c r="J726" t="s">
        <v>27</v>
      </c>
      <c r="K726" t="s">
        <v>28</v>
      </c>
      <c r="L726" t="s">
        <v>33</v>
      </c>
    </row>
    <row r="727" spans="1:12" x14ac:dyDescent="0.25">
      <c r="A727" t="s">
        <v>1475</v>
      </c>
      <c r="B727">
        <v>1</v>
      </c>
      <c r="C727" s="1">
        <v>44544</v>
      </c>
      <c r="D727" s="2">
        <v>0.31597222222222221</v>
      </c>
      <c r="E727" t="s">
        <v>1476</v>
      </c>
      <c r="F727" t="s">
        <v>13</v>
      </c>
      <c r="G727" t="s">
        <v>13</v>
      </c>
      <c r="H727" t="s">
        <v>13</v>
      </c>
      <c r="I727" t="s">
        <v>14</v>
      </c>
      <c r="J727" t="s">
        <v>27</v>
      </c>
      <c r="K727" t="s">
        <v>21</v>
      </c>
      <c r="L727" t="s">
        <v>17</v>
      </c>
    </row>
    <row r="728" spans="1:12" x14ac:dyDescent="0.25">
      <c r="A728" t="s">
        <v>1477</v>
      </c>
      <c r="B728">
        <v>3</v>
      </c>
      <c r="C728" s="1">
        <v>44544</v>
      </c>
      <c r="D728" s="2">
        <v>0.22916666666666666</v>
      </c>
      <c r="E728" t="s">
        <v>1478</v>
      </c>
      <c r="F728" t="s">
        <v>31</v>
      </c>
      <c r="G728" t="s">
        <v>31</v>
      </c>
      <c r="H728" t="s">
        <v>31</v>
      </c>
      <c r="I728" t="s">
        <v>32</v>
      </c>
      <c r="J728" t="s">
        <v>27</v>
      </c>
      <c r="K728" t="s">
        <v>21</v>
      </c>
      <c r="L728" t="s">
        <v>33</v>
      </c>
    </row>
    <row r="729" spans="1:12" x14ac:dyDescent="0.25">
      <c r="A729" t="s">
        <v>1479</v>
      </c>
      <c r="B729">
        <v>1</v>
      </c>
      <c r="C729" s="1">
        <v>44544</v>
      </c>
      <c r="D729" s="2">
        <v>0.71111111111111114</v>
      </c>
      <c r="E729" t="s">
        <v>1480</v>
      </c>
      <c r="F729" t="s">
        <v>13</v>
      </c>
      <c r="G729" t="s">
        <v>13</v>
      </c>
      <c r="H729" t="s">
        <v>13</v>
      </c>
      <c r="I729" t="s">
        <v>14</v>
      </c>
      <c r="J729" t="s">
        <v>27</v>
      </c>
      <c r="K729" t="s">
        <v>21</v>
      </c>
      <c r="L729" t="s">
        <v>17</v>
      </c>
    </row>
    <row r="730" spans="1:12" x14ac:dyDescent="0.25">
      <c r="A730" t="s">
        <v>1481</v>
      </c>
      <c r="B730">
        <v>2</v>
      </c>
      <c r="C730" s="1">
        <v>44544</v>
      </c>
      <c r="D730" s="2">
        <v>0.65208333333333335</v>
      </c>
      <c r="E730" t="s">
        <v>1482</v>
      </c>
      <c r="F730" t="s">
        <v>13</v>
      </c>
      <c r="G730" t="s">
        <v>13</v>
      </c>
      <c r="H730" t="s">
        <v>13</v>
      </c>
      <c r="I730" t="s">
        <v>14</v>
      </c>
      <c r="J730" t="s">
        <v>27</v>
      </c>
      <c r="K730" t="s">
        <v>28</v>
      </c>
      <c r="L730" t="s">
        <v>17</v>
      </c>
    </row>
    <row r="731" spans="1:12" x14ac:dyDescent="0.25">
      <c r="A731" t="s">
        <v>1483</v>
      </c>
      <c r="B731">
        <v>5</v>
      </c>
      <c r="C731" s="1">
        <v>44544</v>
      </c>
      <c r="D731" s="2">
        <v>0.61527777777777781</v>
      </c>
      <c r="E731" t="s">
        <v>1484</v>
      </c>
      <c r="F731" t="s">
        <v>36</v>
      </c>
      <c r="G731" t="s">
        <v>36</v>
      </c>
      <c r="H731" t="s">
        <v>36</v>
      </c>
      <c r="I731" t="s">
        <v>13</v>
      </c>
      <c r="J731" t="s">
        <v>27</v>
      </c>
      <c r="K731" t="s">
        <v>16</v>
      </c>
      <c r="L731" t="s">
        <v>17</v>
      </c>
    </row>
    <row r="732" spans="1:12" x14ac:dyDescent="0.25">
      <c r="A732" t="s">
        <v>1485</v>
      </c>
      <c r="B732">
        <v>3</v>
      </c>
      <c r="C732" s="1">
        <v>44544</v>
      </c>
      <c r="D732" s="2">
        <v>0.57916666666666672</v>
      </c>
      <c r="E732" t="s">
        <v>1486</v>
      </c>
      <c r="F732" t="s">
        <v>36</v>
      </c>
      <c r="G732" t="s">
        <v>36</v>
      </c>
      <c r="H732" t="s">
        <v>36</v>
      </c>
      <c r="I732" t="s">
        <v>13</v>
      </c>
      <c r="J732" t="s">
        <v>27</v>
      </c>
      <c r="K732" t="s">
        <v>28</v>
      </c>
      <c r="L732" t="s">
        <v>17</v>
      </c>
    </row>
    <row r="733" spans="1:12" x14ac:dyDescent="0.25">
      <c r="A733" t="s">
        <v>1487</v>
      </c>
      <c r="B733">
        <v>1</v>
      </c>
      <c r="C733" s="1">
        <v>44543</v>
      </c>
      <c r="D733" s="2">
        <v>0.34652777777777777</v>
      </c>
      <c r="E733" t="s">
        <v>1488</v>
      </c>
      <c r="F733" t="s">
        <v>13</v>
      </c>
      <c r="G733" t="s">
        <v>13</v>
      </c>
      <c r="H733" t="s">
        <v>13</v>
      </c>
      <c r="I733" t="s">
        <v>14</v>
      </c>
      <c r="J733" t="s">
        <v>27</v>
      </c>
      <c r="K733" t="s">
        <v>21</v>
      </c>
      <c r="L733" t="s">
        <v>17</v>
      </c>
    </row>
    <row r="734" spans="1:12" x14ac:dyDescent="0.25">
      <c r="A734" t="s">
        <v>1489</v>
      </c>
      <c r="B734">
        <v>2</v>
      </c>
      <c r="C734" s="1">
        <v>44543</v>
      </c>
      <c r="D734" s="2">
        <v>0.27708333333333335</v>
      </c>
      <c r="E734" t="s">
        <v>1490</v>
      </c>
      <c r="F734" t="s">
        <v>27</v>
      </c>
      <c r="G734" t="s">
        <v>27</v>
      </c>
      <c r="H734" t="s">
        <v>27</v>
      </c>
      <c r="I734" t="s">
        <v>27</v>
      </c>
      <c r="J734" t="s">
        <v>27</v>
      </c>
      <c r="K734" t="s">
        <v>28</v>
      </c>
      <c r="L734" t="s">
        <v>33</v>
      </c>
    </row>
    <row r="735" spans="1:12" x14ac:dyDescent="0.25">
      <c r="A735" t="s">
        <v>1491</v>
      </c>
      <c r="B735">
        <v>1</v>
      </c>
      <c r="C735" s="1">
        <v>44543</v>
      </c>
      <c r="D735" s="2">
        <v>0.27499999999999997</v>
      </c>
      <c r="E735" t="s">
        <v>1492</v>
      </c>
      <c r="F735" t="s">
        <v>13</v>
      </c>
      <c r="G735" t="s">
        <v>13</v>
      </c>
      <c r="H735" t="s">
        <v>13</v>
      </c>
      <c r="I735" t="s">
        <v>14</v>
      </c>
      <c r="J735" t="s">
        <v>27</v>
      </c>
      <c r="K735" t="s">
        <v>21</v>
      </c>
      <c r="L735" t="s">
        <v>17</v>
      </c>
    </row>
    <row r="736" spans="1:12" x14ac:dyDescent="0.25">
      <c r="A736" t="s">
        <v>1493</v>
      </c>
      <c r="B736">
        <v>1</v>
      </c>
      <c r="C736" s="1">
        <v>44543</v>
      </c>
      <c r="D736" s="2">
        <v>0.25069444444444444</v>
      </c>
      <c r="E736" t="s">
        <v>1494</v>
      </c>
      <c r="F736" t="s">
        <v>13</v>
      </c>
      <c r="G736" t="s">
        <v>13</v>
      </c>
      <c r="H736" t="s">
        <v>13</v>
      </c>
      <c r="I736" t="s">
        <v>14</v>
      </c>
      <c r="J736" t="s">
        <v>27</v>
      </c>
      <c r="K736" t="s">
        <v>21</v>
      </c>
      <c r="L736" t="s">
        <v>17</v>
      </c>
    </row>
    <row r="737" spans="1:12" x14ac:dyDescent="0.25">
      <c r="A737" t="s">
        <v>1495</v>
      </c>
      <c r="B737">
        <v>3</v>
      </c>
      <c r="C737" s="1">
        <v>44543</v>
      </c>
      <c r="D737" s="2">
        <v>0.1875</v>
      </c>
      <c r="E737" t="s">
        <v>1496</v>
      </c>
      <c r="F737" t="s">
        <v>13</v>
      </c>
      <c r="G737" t="s">
        <v>13</v>
      </c>
      <c r="H737" t="s">
        <v>13</v>
      </c>
      <c r="I737" t="s">
        <v>14</v>
      </c>
      <c r="J737" t="s">
        <v>27</v>
      </c>
      <c r="K737" t="s">
        <v>21</v>
      </c>
      <c r="L737" t="s">
        <v>17</v>
      </c>
    </row>
    <row r="738" spans="1:12" x14ac:dyDescent="0.25">
      <c r="A738" t="s">
        <v>1497</v>
      </c>
      <c r="B738">
        <v>1</v>
      </c>
      <c r="C738" s="1">
        <v>44543</v>
      </c>
      <c r="D738" s="2">
        <v>0.79999999999999993</v>
      </c>
      <c r="E738" t="s">
        <v>1498</v>
      </c>
      <c r="F738" t="s">
        <v>13</v>
      </c>
      <c r="G738" t="s">
        <v>13</v>
      </c>
      <c r="H738" t="s">
        <v>13</v>
      </c>
      <c r="I738" t="s">
        <v>14</v>
      </c>
      <c r="J738" t="s">
        <v>27</v>
      </c>
      <c r="K738" t="s">
        <v>16</v>
      </c>
      <c r="L738" t="s">
        <v>17</v>
      </c>
    </row>
    <row r="739" spans="1:12" x14ac:dyDescent="0.25">
      <c r="A739" t="s">
        <v>1499</v>
      </c>
      <c r="B739">
        <v>1</v>
      </c>
      <c r="C739" s="1">
        <v>44543</v>
      </c>
      <c r="D739" s="2">
        <v>0.77083333333333337</v>
      </c>
      <c r="E739" t="s">
        <v>1500</v>
      </c>
      <c r="F739" t="s">
        <v>13</v>
      </c>
      <c r="G739" t="s">
        <v>13</v>
      </c>
      <c r="H739" t="s">
        <v>13</v>
      </c>
      <c r="I739" t="s">
        <v>14</v>
      </c>
      <c r="J739" t="s">
        <v>27</v>
      </c>
      <c r="K739" t="s">
        <v>21</v>
      </c>
      <c r="L739" t="s">
        <v>17</v>
      </c>
    </row>
    <row r="740" spans="1:12" x14ac:dyDescent="0.25">
      <c r="A740" t="s">
        <v>1501</v>
      </c>
      <c r="B740">
        <v>5</v>
      </c>
      <c r="C740" s="1">
        <v>44543</v>
      </c>
      <c r="D740" s="2">
        <v>0.74791666666666667</v>
      </c>
      <c r="E740" t="s">
        <v>1502</v>
      </c>
      <c r="F740" t="s">
        <v>36</v>
      </c>
      <c r="G740" t="s">
        <v>36</v>
      </c>
      <c r="H740" t="s">
        <v>36</v>
      </c>
      <c r="I740" t="s">
        <v>13</v>
      </c>
      <c r="J740" t="s">
        <v>27</v>
      </c>
      <c r="K740" t="s">
        <v>21</v>
      </c>
      <c r="L740" t="s">
        <v>17</v>
      </c>
    </row>
    <row r="741" spans="1:12" x14ac:dyDescent="0.25">
      <c r="A741" t="s">
        <v>1503</v>
      </c>
      <c r="B741">
        <v>1</v>
      </c>
      <c r="C741" s="1">
        <v>44543</v>
      </c>
      <c r="D741" s="2">
        <v>0.70972222222222225</v>
      </c>
      <c r="E741" t="s">
        <v>1504</v>
      </c>
      <c r="F741" t="s">
        <v>13</v>
      </c>
      <c r="G741" t="s">
        <v>13</v>
      </c>
      <c r="H741" t="s">
        <v>13</v>
      </c>
      <c r="I741" t="s">
        <v>14</v>
      </c>
      <c r="J741" t="s">
        <v>27</v>
      </c>
      <c r="K741" t="s">
        <v>21</v>
      </c>
      <c r="L741" t="s">
        <v>17</v>
      </c>
    </row>
    <row r="742" spans="1:12" x14ac:dyDescent="0.25">
      <c r="A742" t="s">
        <v>1505</v>
      </c>
      <c r="B742">
        <v>5</v>
      </c>
      <c r="C742" s="1">
        <v>44543</v>
      </c>
      <c r="D742" s="2">
        <v>0.66180555555555554</v>
      </c>
      <c r="E742" t="s">
        <v>1506</v>
      </c>
      <c r="F742" t="s">
        <v>36</v>
      </c>
      <c r="G742" t="s">
        <v>36</v>
      </c>
      <c r="H742" t="s">
        <v>36</v>
      </c>
      <c r="I742" t="s">
        <v>13</v>
      </c>
      <c r="J742" t="s">
        <v>27</v>
      </c>
      <c r="K742" t="s">
        <v>21</v>
      </c>
      <c r="L742" t="s">
        <v>17</v>
      </c>
    </row>
    <row r="743" spans="1:12" x14ac:dyDescent="0.25">
      <c r="A743" t="s">
        <v>1507</v>
      </c>
      <c r="B743">
        <v>1</v>
      </c>
      <c r="C743" s="1">
        <v>44543</v>
      </c>
      <c r="D743" s="2">
        <v>0.60555555555555551</v>
      </c>
      <c r="E743" t="s">
        <v>1508</v>
      </c>
      <c r="F743" t="s">
        <v>13</v>
      </c>
      <c r="G743" t="s">
        <v>13</v>
      </c>
      <c r="H743" t="s">
        <v>13</v>
      </c>
      <c r="I743" t="s">
        <v>14</v>
      </c>
      <c r="J743" t="s">
        <v>27</v>
      </c>
      <c r="K743" t="s">
        <v>16</v>
      </c>
      <c r="L743" t="s">
        <v>17</v>
      </c>
    </row>
    <row r="744" spans="1:12" x14ac:dyDescent="0.25">
      <c r="A744" t="s">
        <v>1509</v>
      </c>
      <c r="B744">
        <v>1</v>
      </c>
      <c r="C744" s="1">
        <v>44543</v>
      </c>
      <c r="D744" s="2">
        <v>0.5805555555555556</v>
      </c>
      <c r="E744" t="s">
        <v>1510</v>
      </c>
      <c r="F744" t="s">
        <v>13</v>
      </c>
      <c r="G744" t="s">
        <v>13</v>
      </c>
      <c r="H744" t="s">
        <v>13</v>
      </c>
      <c r="I744" t="s">
        <v>14</v>
      </c>
      <c r="J744" t="s">
        <v>27</v>
      </c>
      <c r="K744" t="s">
        <v>21</v>
      </c>
      <c r="L744" t="s">
        <v>17</v>
      </c>
    </row>
    <row r="745" spans="1:12" x14ac:dyDescent="0.25">
      <c r="A745" t="s">
        <v>1511</v>
      </c>
      <c r="B745">
        <v>1</v>
      </c>
      <c r="C745" s="1">
        <v>44543</v>
      </c>
      <c r="D745" s="2">
        <v>0.50416666666666665</v>
      </c>
      <c r="E745" t="s">
        <v>1512</v>
      </c>
      <c r="F745" t="s">
        <v>13</v>
      </c>
      <c r="G745" t="s">
        <v>13</v>
      </c>
      <c r="H745" t="s">
        <v>13</v>
      </c>
      <c r="I745" t="s">
        <v>14</v>
      </c>
      <c r="J745" t="s">
        <v>27</v>
      </c>
      <c r="K745" t="s">
        <v>28</v>
      </c>
      <c r="L745" t="s">
        <v>17</v>
      </c>
    </row>
    <row r="746" spans="1:12" x14ac:dyDescent="0.25">
      <c r="A746" t="s">
        <v>1513</v>
      </c>
      <c r="B746">
        <v>5</v>
      </c>
      <c r="C746" s="1">
        <v>44543</v>
      </c>
      <c r="D746" s="2">
        <v>0.45833333333333331</v>
      </c>
      <c r="E746" t="s">
        <v>1514</v>
      </c>
      <c r="F746" t="s">
        <v>36</v>
      </c>
      <c r="G746" t="s">
        <v>36</v>
      </c>
      <c r="H746" t="s">
        <v>36</v>
      </c>
      <c r="I746" t="s">
        <v>13</v>
      </c>
      <c r="J746" t="s">
        <v>27</v>
      </c>
      <c r="K746" t="s">
        <v>16</v>
      </c>
      <c r="L746" t="s">
        <v>17</v>
      </c>
    </row>
    <row r="747" spans="1:12" x14ac:dyDescent="0.25">
      <c r="A747" t="s">
        <v>1515</v>
      </c>
      <c r="B747">
        <v>5</v>
      </c>
      <c r="C747" s="1">
        <v>44543</v>
      </c>
      <c r="D747" s="2">
        <v>0.44305555555555554</v>
      </c>
      <c r="E747" t="s">
        <v>1516</v>
      </c>
      <c r="F747" t="s">
        <v>36</v>
      </c>
      <c r="G747" t="s">
        <v>36</v>
      </c>
      <c r="H747" t="s">
        <v>36</v>
      </c>
      <c r="I747" t="s">
        <v>13</v>
      </c>
      <c r="J747" t="s">
        <v>27</v>
      </c>
      <c r="K747" t="s">
        <v>21</v>
      </c>
      <c r="L747" t="s">
        <v>17</v>
      </c>
    </row>
    <row r="748" spans="1:12" x14ac:dyDescent="0.25">
      <c r="A748" t="s">
        <v>1517</v>
      </c>
      <c r="B748">
        <v>1</v>
      </c>
      <c r="C748" s="1">
        <v>44542</v>
      </c>
      <c r="D748" s="2">
        <v>0.33055555555555555</v>
      </c>
      <c r="E748" t="s">
        <v>1518</v>
      </c>
      <c r="F748" t="s">
        <v>13</v>
      </c>
      <c r="G748" t="s">
        <v>13</v>
      </c>
      <c r="H748" t="s">
        <v>13</v>
      </c>
      <c r="I748" t="s">
        <v>14</v>
      </c>
      <c r="J748" t="s">
        <v>27</v>
      </c>
      <c r="K748" t="s">
        <v>21</v>
      </c>
      <c r="L748" t="s">
        <v>17</v>
      </c>
    </row>
    <row r="749" spans="1:12" x14ac:dyDescent="0.25">
      <c r="A749" t="s">
        <v>1519</v>
      </c>
      <c r="B749">
        <v>1</v>
      </c>
      <c r="C749" s="1">
        <v>44542</v>
      </c>
      <c r="D749" s="2">
        <v>0.32708333333333334</v>
      </c>
      <c r="E749" t="s">
        <v>1520</v>
      </c>
      <c r="F749" t="s">
        <v>13</v>
      </c>
      <c r="G749" t="s">
        <v>13</v>
      </c>
      <c r="H749" t="s">
        <v>13</v>
      </c>
      <c r="I749" t="s">
        <v>14</v>
      </c>
      <c r="J749" t="s">
        <v>27</v>
      </c>
      <c r="K749" t="s">
        <v>21</v>
      </c>
      <c r="L749" t="s">
        <v>17</v>
      </c>
    </row>
    <row r="750" spans="1:12" x14ac:dyDescent="0.25">
      <c r="A750" t="s">
        <v>1521</v>
      </c>
      <c r="B750">
        <v>4</v>
      </c>
      <c r="C750" s="1">
        <v>44542</v>
      </c>
      <c r="D750" s="2">
        <v>0.30069444444444443</v>
      </c>
      <c r="E750" t="s">
        <v>1522</v>
      </c>
      <c r="F750" t="s">
        <v>36</v>
      </c>
      <c r="G750" t="s">
        <v>36</v>
      </c>
      <c r="H750" t="s">
        <v>36</v>
      </c>
      <c r="I750" t="s">
        <v>13</v>
      </c>
      <c r="J750" t="s">
        <v>27</v>
      </c>
      <c r="K750" t="s">
        <v>28</v>
      </c>
      <c r="L750" t="s">
        <v>17</v>
      </c>
    </row>
    <row r="751" spans="1:12" x14ac:dyDescent="0.25">
      <c r="A751" t="s">
        <v>1523</v>
      </c>
      <c r="B751">
        <v>1</v>
      </c>
      <c r="C751" s="1">
        <v>44542</v>
      </c>
      <c r="D751" s="2">
        <v>0.18541666666666667</v>
      </c>
      <c r="E751" t="s">
        <v>1524</v>
      </c>
      <c r="F751" t="s">
        <v>13</v>
      </c>
      <c r="G751" t="s">
        <v>13</v>
      </c>
      <c r="H751" t="s">
        <v>13</v>
      </c>
      <c r="I751" t="s">
        <v>14</v>
      </c>
      <c r="J751" t="s">
        <v>27</v>
      </c>
      <c r="K751" t="s">
        <v>21</v>
      </c>
      <c r="L751" t="s">
        <v>17</v>
      </c>
    </row>
    <row r="752" spans="1:12" x14ac:dyDescent="0.25">
      <c r="A752" t="s">
        <v>1525</v>
      </c>
      <c r="B752">
        <v>1</v>
      </c>
      <c r="C752" s="1">
        <v>44542</v>
      </c>
      <c r="D752" s="2">
        <v>6.805555555555555E-2</v>
      </c>
      <c r="E752" t="s">
        <v>1526</v>
      </c>
      <c r="F752" t="s">
        <v>13</v>
      </c>
      <c r="G752" t="s">
        <v>13</v>
      </c>
      <c r="H752" t="s">
        <v>13</v>
      </c>
      <c r="I752" t="s">
        <v>14</v>
      </c>
      <c r="J752" t="s">
        <v>27</v>
      </c>
      <c r="K752" t="s">
        <v>21</v>
      </c>
      <c r="L752" t="s">
        <v>17</v>
      </c>
    </row>
    <row r="753" spans="1:12" x14ac:dyDescent="0.25">
      <c r="A753" t="s">
        <v>1527</v>
      </c>
      <c r="B753">
        <v>1</v>
      </c>
      <c r="C753" s="1">
        <v>44542</v>
      </c>
      <c r="D753" s="2">
        <v>0.64374999999999993</v>
      </c>
      <c r="E753" t="s">
        <v>1528</v>
      </c>
      <c r="F753" t="s">
        <v>13</v>
      </c>
      <c r="G753" t="s">
        <v>13</v>
      </c>
      <c r="H753" t="s">
        <v>13</v>
      </c>
      <c r="I753" t="s">
        <v>14</v>
      </c>
      <c r="J753" t="s">
        <v>27</v>
      </c>
      <c r="K753" t="s">
        <v>21</v>
      </c>
      <c r="L753" t="s">
        <v>17</v>
      </c>
    </row>
    <row r="754" spans="1:12" x14ac:dyDescent="0.25">
      <c r="A754" t="s">
        <v>1529</v>
      </c>
      <c r="B754">
        <v>1</v>
      </c>
      <c r="C754" s="1">
        <v>44542</v>
      </c>
      <c r="D754" s="2">
        <v>0.58958333333333335</v>
      </c>
      <c r="E754" t="s">
        <v>1530</v>
      </c>
      <c r="F754" t="s">
        <v>13</v>
      </c>
      <c r="G754" t="s">
        <v>13</v>
      </c>
      <c r="H754" t="s">
        <v>13</v>
      </c>
      <c r="I754" t="s">
        <v>14</v>
      </c>
      <c r="J754" t="s">
        <v>27</v>
      </c>
      <c r="K754" t="s">
        <v>21</v>
      </c>
      <c r="L754" t="s">
        <v>17</v>
      </c>
    </row>
    <row r="755" spans="1:12" x14ac:dyDescent="0.25">
      <c r="A755" t="s">
        <v>1531</v>
      </c>
      <c r="B755">
        <v>1</v>
      </c>
      <c r="C755" s="1">
        <v>44542</v>
      </c>
      <c r="D755" s="2">
        <v>0.58888888888888891</v>
      </c>
      <c r="E755" t="s">
        <v>1532</v>
      </c>
      <c r="F755" t="s">
        <v>13</v>
      </c>
      <c r="G755" t="s">
        <v>13</v>
      </c>
      <c r="H755" t="s">
        <v>13</v>
      </c>
      <c r="I755" t="s">
        <v>14</v>
      </c>
      <c r="J755" t="s">
        <v>27</v>
      </c>
      <c r="K755" t="s">
        <v>21</v>
      </c>
      <c r="L755" t="s">
        <v>17</v>
      </c>
    </row>
    <row r="756" spans="1:12" x14ac:dyDescent="0.25">
      <c r="A756" t="s">
        <v>1533</v>
      </c>
      <c r="B756">
        <v>1</v>
      </c>
      <c r="C756" s="1">
        <v>44542</v>
      </c>
      <c r="D756" s="2">
        <v>0.55138888888888882</v>
      </c>
      <c r="E756" t="s">
        <v>1534</v>
      </c>
      <c r="F756" t="s">
        <v>13</v>
      </c>
      <c r="G756" t="s">
        <v>13</v>
      </c>
      <c r="H756" t="s">
        <v>13</v>
      </c>
      <c r="I756" t="s">
        <v>14</v>
      </c>
      <c r="J756" t="s">
        <v>27</v>
      </c>
      <c r="K756" t="s">
        <v>16</v>
      </c>
      <c r="L756" t="s">
        <v>17</v>
      </c>
    </row>
    <row r="757" spans="1:12" x14ac:dyDescent="0.25">
      <c r="A757" t="s">
        <v>1535</v>
      </c>
      <c r="B757">
        <v>1</v>
      </c>
      <c r="C757" s="1">
        <v>44542</v>
      </c>
      <c r="D757" s="2">
        <v>0.53333333333333333</v>
      </c>
      <c r="E757" t="s">
        <v>1536</v>
      </c>
      <c r="F757" t="s">
        <v>13</v>
      </c>
      <c r="G757" t="s">
        <v>13</v>
      </c>
      <c r="H757" t="s">
        <v>13</v>
      </c>
      <c r="I757" t="s">
        <v>14</v>
      </c>
      <c r="J757" t="s">
        <v>27</v>
      </c>
      <c r="K757" t="s">
        <v>21</v>
      </c>
      <c r="L757" t="s">
        <v>17</v>
      </c>
    </row>
    <row r="758" spans="1:12" x14ac:dyDescent="0.25">
      <c r="A758" t="s">
        <v>1537</v>
      </c>
      <c r="B758">
        <v>1</v>
      </c>
      <c r="C758" s="1">
        <v>44542</v>
      </c>
      <c r="D758" s="2">
        <v>0.5180555555555556</v>
      </c>
      <c r="E758" t="s">
        <v>1538</v>
      </c>
      <c r="F758" t="s">
        <v>13</v>
      </c>
      <c r="G758" t="s">
        <v>13</v>
      </c>
      <c r="H758" t="s">
        <v>13</v>
      </c>
      <c r="I758" t="s">
        <v>14</v>
      </c>
      <c r="J758" t="s">
        <v>27</v>
      </c>
      <c r="K758" t="s">
        <v>21</v>
      </c>
      <c r="L758" t="s">
        <v>17</v>
      </c>
    </row>
    <row r="759" spans="1:12" x14ac:dyDescent="0.25">
      <c r="A759" t="s">
        <v>1539</v>
      </c>
      <c r="B759">
        <v>1</v>
      </c>
      <c r="C759" s="1">
        <v>44542</v>
      </c>
      <c r="D759" s="2">
        <v>0.51458333333333328</v>
      </c>
      <c r="E759" t="s">
        <v>1540</v>
      </c>
      <c r="F759" t="s">
        <v>13</v>
      </c>
      <c r="G759" t="s">
        <v>13</v>
      </c>
      <c r="H759" t="s">
        <v>13</v>
      </c>
      <c r="I759" t="s">
        <v>14</v>
      </c>
      <c r="J759" t="s">
        <v>27</v>
      </c>
      <c r="K759" t="s">
        <v>28</v>
      </c>
      <c r="L759" t="s">
        <v>17</v>
      </c>
    </row>
    <row r="760" spans="1:12" x14ac:dyDescent="0.25">
      <c r="A760" t="s">
        <v>1541</v>
      </c>
      <c r="B760">
        <v>1</v>
      </c>
      <c r="C760" s="1">
        <v>44542</v>
      </c>
      <c r="D760" s="2">
        <v>0.47638888888888892</v>
      </c>
      <c r="E760" t="s">
        <v>1542</v>
      </c>
      <c r="F760" t="s">
        <v>13</v>
      </c>
      <c r="G760" t="s">
        <v>13</v>
      </c>
      <c r="H760" t="s">
        <v>13</v>
      </c>
      <c r="I760" t="s">
        <v>14</v>
      </c>
      <c r="J760" t="s">
        <v>27</v>
      </c>
      <c r="K760" t="s">
        <v>21</v>
      </c>
      <c r="L760" t="s">
        <v>17</v>
      </c>
    </row>
    <row r="761" spans="1:12" x14ac:dyDescent="0.25">
      <c r="A761" t="s">
        <v>1543</v>
      </c>
      <c r="B761">
        <v>1</v>
      </c>
      <c r="C761" s="1">
        <v>44542</v>
      </c>
      <c r="D761" s="2">
        <v>0.4381944444444445</v>
      </c>
      <c r="E761" t="s">
        <v>1544</v>
      </c>
      <c r="F761" t="s">
        <v>31</v>
      </c>
      <c r="G761" t="s">
        <v>31</v>
      </c>
      <c r="H761" t="s">
        <v>31</v>
      </c>
      <c r="I761" t="s">
        <v>32</v>
      </c>
      <c r="J761" t="s">
        <v>27</v>
      </c>
      <c r="K761" t="s">
        <v>21</v>
      </c>
      <c r="L761" t="s">
        <v>33</v>
      </c>
    </row>
    <row r="762" spans="1:12" x14ac:dyDescent="0.25">
      <c r="A762" t="s">
        <v>1545</v>
      </c>
      <c r="B762">
        <v>2</v>
      </c>
      <c r="C762" s="1">
        <v>44541</v>
      </c>
      <c r="D762" s="2">
        <v>0.39930555555555558</v>
      </c>
      <c r="E762" t="s">
        <v>1546</v>
      </c>
      <c r="F762" t="s">
        <v>31</v>
      </c>
      <c r="G762" t="s">
        <v>31</v>
      </c>
      <c r="H762" t="s">
        <v>31</v>
      </c>
      <c r="I762" t="s">
        <v>32</v>
      </c>
      <c r="J762" t="s">
        <v>27</v>
      </c>
      <c r="K762" t="s">
        <v>28</v>
      </c>
      <c r="L762" t="s">
        <v>33</v>
      </c>
    </row>
    <row r="763" spans="1:12" x14ac:dyDescent="0.25">
      <c r="A763" t="s">
        <v>1547</v>
      </c>
      <c r="B763">
        <v>1</v>
      </c>
      <c r="C763" s="1">
        <v>44541</v>
      </c>
      <c r="D763" s="2">
        <v>0.38194444444444442</v>
      </c>
      <c r="E763" t="s">
        <v>1548</v>
      </c>
      <c r="F763" t="s">
        <v>31</v>
      </c>
      <c r="G763" t="s">
        <v>31</v>
      </c>
      <c r="H763" t="s">
        <v>31</v>
      </c>
      <c r="I763" t="s">
        <v>32</v>
      </c>
      <c r="J763" t="s">
        <v>27</v>
      </c>
      <c r="K763" t="s">
        <v>21</v>
      </c>
      <c r="L763" t="s">
        <v>33</v>
      </c>
    </row>
    <row r="764" spans="1:12" x14ac:dyDescent="0.25">
      <c r="A764" t="s">
        <v>1549</v>
      </c>
      <c r="B764">
        <v>3</v>
      </c>
      <c r="C764" s="1">
        <v>44541</v>
      </c>
      <c r="D764" s="2">
        <v>0.37986111111111115</v>
      </c>
      <c r="E764" t="s">
        <v>1550</v>
      </c>
      <c r="F764" t="s">
        <v>13</v>
      </c>
      <c r="G764" t="s">
        <v>13</v>
      </c>
      <c r="H764" t="s">
        <v>13</v>
      </c>
      <c r="I764" t="s">
        <v>14</v>
      </c>
      <c r="J764" t="s">
        <v>27</v>
      </c>
      <c r="K764" t="s">
        <v>21</v>
      </c>
      <c r="L764" t="s">
        <v>17</v>
      </c>
    </row>
    <row r="765" spans="1:12" x14ac:dyDescent="0.25">
      <c r="A765" t="s">
        <v>1551</v>
      </c>
      <c r="B765">
        <v>1</v>
      </c>
      <c r="C765" s="1">
        <v>44541</v>
      </c>
      <c r="D765" s="2">
        <v>0.21597222222222223</v>
      </c>
      <c r="E765" t="s">
        <v>1552</v>
      </c>
      <c r="F765" t="s">
        <v>13</v>
      </c>
      <c r="G765" t="s">
        <v>13</v>
      </c>
      <c r="H765" t="s">
        <v>13</v>
      </c>
      <c r="I765" t="s">
        <v>14</v>
      </c>
      <c r="J765" t="s">
        <v>27</v>
      </c>
      <c r="K765" t="s">
        <v>16</v>
      </c>
      <c r="L765" t="s">
        <v>17</v>
      </c>
    </row>
    <row r="766" spans="1:12" x14ac:dyDescent="0.25">
      <c r="A766" t="s">
        <v>1553</v>
      </c>
      <c r="B766">
        <v>1</v>
      </c>
      <c r="C766" s="1">
        <v>44541</v>
      </c>
      <c r="D766" s="2">
        <v>0.15763888888888888</v>
      </c>
      <c r="E766" t="s">
        <v>1554</v>
      </c>
      <c r="F766" t="s">
        <v>13</v>
      </c>
      <c r="G766" t="s">
        <v>13</v>
      </c>
      <c r="H766" t="s">
        <v>13</v>
      </c>
      <c r="I766" t="s">
        <v>14</v>
      </c>
      <c r="J766" t="s">
        <v>27</v>
      </c>
      <c r="K766" t="s">
        <v>21</v>
      </c>
      <c r="L766" t="s">
        <v>17</v>
      </c>
    </row>
    <row r="767" spans="1:12" x14ac:dyDescent="0.25">
      <c r="A767" t="s">
        <v>1555</v>
      </c>
      <c r="B767">
        <v>1</v>
      </c>
      <c r="C767" s="1">
        <v>44541</v>
      </c>
      <c r="D767" s="2">
        <v>0.12291666666666667</v>
      </c>
      <c r="E767" t="s">
        <v>1556</v>
      </c>
      <c r="F767" t="s">
        <v>31</v>
      </c>
      <c r="G767" t="s">
        <v>31</v>
      </c>
      <c r="H767" t="s">
        <v>31</v>
      </c>
      <c r="I767" t="s">
        <v>32</v>
      </c>
      <c r="J767" t="s">
        <v>27</v>
      </c>
      <c r="K767" t="s">
        <v>21</v>
      </c>
      <c r="L767" t="s">
        <v>33</v>
      </c>
    </row>
    <row r="768" spans="1:12" x14ac:dyDescent="0.25">
      <c r="A768" t="s">
        <v>1557</v>
      </c>
      <c r="B768">
        <v>5</v>
      </c>
      <c r="C768" s="1">
        <v>44541</v>
      </c>
      <c r="D768" s="2">
        <v>0.9784722222222223</v>
      </c>
      <c r="E768" t="s">
        <v>1558</v>
      </c>
      <c r="F768" t="s">
        <v>36</v>
      </c>
      <c r="G768" t="s">
        <v>36</v>
      </c>
      <c r="H768" t="s">
        <v>36</v>
      </c>
      <c r="I768" t="s">
        <v>13</v>
      </c>
      <c r="J768" t="s">
        <v>27</v>
      </c>
      <c r="K768" t="s">
        <v>28</v>
      </c>
      <c r="L768" t="s">
        <v>17</v>
      </c>
    </row>
    <row r="769" spans="1:12" x14ac:dyDescent="0.25">
      <c r="A769" t="s">
        <v>1559</v>
      </c>
      <c r="B769">
        <v>3</v>
      </c>
      <c r="C769" s="1">
        <v>44541</v>
      </c>
      <c r="D769" s="2">
        <v>0.72777777777777775</v>
      </c>
      <c r="E769" t="s">
        <v>1560</v>
      </c>
      <c r="F769" t="s">
        <v>13</v>
      </c>
      <c r="G769" t="s">
        <v>13</v>
      </c>
      <c r="H769" t="s">
        <v>13</v>
      </c>
      <c r="I769" t="s">
        <v>14</v>
      </c>
      <c r="J769" t="s">
        <v>27</v>
      </c>
      <c r="K769" t="s">
        <v>21</v>
      </c>
      <c r="L769" t="s">
        <v>17</v>
      </c>
    </row>
    <row r="770" spans="1:12" x14ac:dyDescent="0.25">
      <c r="A770" t="s">
        <v>1561</v>
      </c>
      <c r="B770">
        <v>1</v>
      </c>
      <c r="C770" s="1">
        <v>44541</v>
      </c>
      <c r="D770" s="2">
        <v>0.59444444444444444</v>
      </c>
      <c r="E770" t="s">
        <v>1562</v>
      </c>
      <c r="F770" t="s">
        <v>31</v>
      </c>
      <c r="G770" t="s">
        <v>31</v>
      </c>
      <c r="H770" t="s">
        <v>31</v>
      </c>
      <c r="I770" t="s">
        <v>32</v>
      </c>
      <c r="J770" t="s">
        <v>27</v>
      </c>
      <c r="K770" t="s">
        <v>21</v>
      </c>
      <c r="L770" t="s">
        <v>33</v>
      </c>
    </row>
    <row r="771" spans="1:12" x14ac:dyDescent="0.25">
      <c r="A771" t="s">
        <v>1563</v>
      </c>
      <c r="B771">
        <v>1</v>
      </c>
      <c r="C771" s="1">
        <v>44541</v>
      </c>
      <c r="D771" s="2">
        <v>0.58819444444444446</v>
      </c>
      <c r="E771" t="s">
        <v>1564</v>
      </c>
      <c r="F771" t="s">
        <v>13</v>
      </c>
      <c r="G771" t="s">
        <v>13</v>
      </c>
      <c r="H771" t="s">
        <v>13</v>
      </c>
      <c r="I771" t="s">
        <v>14</v>
      </c>
      <c r="J771" t="s">
        <v>27</v>
      </c>
      <c r="K771" t="s">
        <v>21</v>
      </c>
      <c r="L771" t="s">
        <v>17</v>
      </c>
    </row>
    <row r="772" spans="1:12" x14ac:dyDescent="0.25">
      <c r="A772" t="s">
        <v>1565</v>
      </c>
      <c r="B772">
        <v>1</v>
      </c>
      <c r="C772" s="1">
        <v>44541</v>
      </c>
      <c r="D772" s="2">
        <v>0.58263888888888882</v>
      </c>
      <c r="E772" t="s">
        <v>1566</v>
      </c>
      <c r="F772" t="s">
        <v>13</v>
      </c>
      <c r="G772" t="s">
        <v>13</v>
      </c>
      <c r="H772" t="s">
        <v>13</v>
      </c>
      <c r="I772" t="s">
        <v>14</v>
      </c>
      <c r="J772" t="s">
        <v>27</v>
      </c>
      <c r="K772" t="s">
        <v>21</v>
      </c>
      <c r="L772" t="s">
        <v>17</v>
      </c>
    </row>
    <row r="773" spans="1:12" x14ac:dyDescent="0.25">
      <c r="A773" t="s">
        <v>1567</v>
      </c>
      <c r="B773">
        <v>5</v>
      </c>
      <c r="C773" s="1">
        <v>44540</v>
      </c>
      <c r="D773" s="2">
        <v>0.33680555555555558</v>
      </c>
      <c r="E773" t="s">
        <v>1568</v>
      </c>
      <c r="F773" t="s">
        <v>36</v>
      </c>
      <c r="G773" t="s">
        <v>36</v>
      </c>
      <c r="H773" t="s">
        <v>36</v>
      </c>
      <c r="I773" t="s">
        <v>13</v>
      </c>
      <c r="J773" t="s">
        <v>27</v>
      </c>
      <c r="K773" t="s">
        <v>21</v>
      </c>
      <c r="L773" t="s">
        <v>17</v>
      </c>
    </row>
    <row r="774" spans="1:12" x14ac:dyDescent="0.25">
      <c r="A774" t="s">
        <v>1569</v>
      </c>
      <c r="B774">
        <v>1</v>
      </c>
      <c r="C774" s="1">
        <v>44540</v>
      </c>
      <c r="D774" s="2">
        <v>0.28402777777777777</v>
      </c>
      <c r="E774" t="s">
        <v>1570</v>
      </c>
      <c r="F774" t="s">
        <v>13</v>
      </c>
      <c r="G774" t="s">
        <v>13</v>
      </c>
      <c r="H774" t="s">
        <v>13</v>
      </c>
      <c r="I774" t="s">
        <v>14</v>
      </c>
      <c r="J774" t="s">
        <v>27</v>
      </c>
      <c r="K774" t="s">
        <v>21</v>
      </c>
      <c r="L774" t="s">
        <v>17</v>
      </c>
    </row>
    <row r="775" spans="1:12" x14ac:dyDescent="0.25">
      <c r="A775" t="s">
        <v>1571</v>
      </c>
      <c r="B775">
        <v>1</v>
      </c>
      <c r="C775" s="1">
        <v>44540</v>
      </c>
      <c r="D775" s="2">
        <v>0.28055555555555556</v>
      </c>
      <c r="E775" t="s">
        <v>1572</v>
      </c>
      <c r="F775" t="s">
        <v>13</v>
      </c>
      <c r="G775" t="s">
        <v>13</v>
      </c>
      <c r="H775" t="s">
        <v>13</v>
      </c>
      <c r="I775" t="s">
        <v>14</v>
      </c>
      <c r="J775" t="s">
        <v>27</v>
      </c>
      <c r="K775" t="s">
        <v>21</v>
      </c>
      <c r="L775" t="s">
        <v>17</v>
      </c>
    </row>
    <row r="776" spans="1:12" x14ac:dyDescent="0.25">
      <c r="A776" t="s">
        <v>1573</v>
      </c>
      <c r="B776">
        <v>1</v>
      </c>
      <c r="C776" s="1">
        <v>44540</v>
      </c>
      <c r="D776" s="2">
        <v>0.27569444444444446</v>
      </c>
      <c r="E776" t="s">
        <v>1574</v>
      </c>
      <c r="F776" t="s">
        <v>13</v>
      </c>
      <c r="G776" t="s">
        <v>13</v>
      </c>
      <c r="H776" t="s">
        <v>13</v>
      </c>
      <c r="I776" t="s">
        <v>14</v>
      </c>
      <c r="J776" t="s">
        <v>27</v>
      </c>
      <c r="K776" t="s">
        <v>16</v>
      </c>
      <c r="L776" t="s">
        <v>17</v>
      </c>
    </row>
    <row r="777" spans="1:12" x14ac:dyDescent="0.25">
      <c r="A777" t="s">
        <v>1575</v>
      </c>
      <c r="B777">
        <v>1</v>
      </c>
      <c r="C777" s="1">
        <v>44540</v>
      </c>
      <c r="D777" s="2">
        <v>0.22847222222222222</v>
      </c>
      <c r="E777" t="s">
        <v>1576</v>
      </c>
      <c r="F777" t="s">
        <v>13</v>
      </c>
      <c r="G777" t="s">
        <v>13</v>
      </c>
      <c r="H777" t="s">
        <v>13</v>
      </c>
      <c r="I777" t="s">
        <v>14</v>
      </c>
      <c r="J777" t="s">
        <v>27</v>
      </c>
      <c r="K777" t="s">
        <v>21</v>
      </c>
      <c r="L777" t="s">
        <v>17</v>
      </c>
    </row>
    <row r="778" spans="1:12" x14ac:dyDescent="0.25">
      <c r="A778" t="s">
        <v>1577</v>
      </c>
      <c r="B778">
        <v>3</v>
      </c>
      <c r="C778" s="1">
        <v>44540</v>
      </c>
      <c r="D778" s="2">
        <v>0.17986111111111111</v>
      </c>
      <c r="E778" t="s">
        <v>1578</v>
      </c>
      <c r="F778" t="s">
        <v>13</v>
      </c>
      <c r="G778" t="s">
        <v>13</v>
      </c>
      <c r="H778" t="s">
        <v>13</v>
      </c>
      <c r="I778" t="s">
        <v>14</v>
      </c>
      <c r="J778" t="s">
        <v>27</v>
      </c>
      <c r="K778" t="s">
        <v>28</v>
      </c>
      <c r="L778" t="s">
        <v>17</v>
      </c>
    </row>
    <row r="779" spans="1:12" x14ac:dyDescent="0.25">
      <c r="A779" t="s">
        <v>1579</v>
      </c>
      <c r="B779">
        <v>1</v>
      </c>
      <c r="C779" s="1">
        <v>44540</v>
      </c>
      <c r="D779" s="2">
        <v>0.15277777777777776</v>
      </c>
      <c r="E779" t="s">
        <v>1580</v>
      </c>
      <c r="F779" t="s">
        <v>13</v>
      </c>
      <c r="G779" t="s">
        <v>13</v>
      </c>
      <c r="H779" t="s">
        <v>13</v>
      </c>
      <c r="I779" t="s">
        <v>14</v>
      </c>
      <c r="J779" t="s">
        <v>27</v>
      </c>
      <c r="K779" t="s">
        <v>21</v>
      </c>
      <c r="L779" t="s">
        <v>17</v>
      </c>
    </row>
    <row r="780" spans="1:12" x14ac:dyDescent="0.25">
      <c r="A780" t="s">
        <v>1581</v>
      </c>
      <c r="B780">
        <v>5</v>
      </c>
      <c r="C780" s="1">
        <v>44540</v>
      </c>
      <c r="D780" s="2">
        <v>7.7777777777777779E-2</v>
      </c>
      <c r="E780" t="s">
        <v>1582</v>
      </c>
      <c r="F780" t="s">
        <v>31</v>
      </c>
      <c r="G780" t="s">
        <v>31</v>
      </c>
      <c r="H780" t="s">
        <v>31</v>
      </c>
      <c r="I780" t="s">
        <v>32</v>
      </c>
      <c r="J780" t="s">
        <v>27</v>
      </c>
      <c r="K780" t="s">
        <v>21</v>
      </c>
      <c r="L780" t="s">
        <v>33</v>
      </c>
    </row>
    <row r="781" spans="1:12" x14ac:dyDescent="0.25">
      <c r="A781" t="s">
        <v>1583</v>
      </c>
      <c r="B781">
        <v>3</v>
      </c>
      <c r="C781" s="1">
        <v>44540</v>
      </c>
      <c r="D781" s="2">
        <v>5.9027777777777783E-2</v>
      </c>
      <c r="E781" t="s">
        <v>1584</v>
      </c>
      <c r="F781" t="s">
        <v>13</v>
      </c>
      <c r="G781" t="s">
        <v>13</v>
      </c>
      <c r="H781" t="s">
        <v>13</v>
      </c>
      <c r="I781" t="s">
        <v>14</v>
      </c>
      <c r="J781" t="s">
        <v>27</v>
      </c>
      <c r="K781" t="s">
        <v>21</v>
      </c>
      <c r="L781" t="s">
        <v>17</v>
      </c>
    </row>
    <row r="782" spans="1:12" x14ac:dyDescent="0.25">
      <c r="A782" t="s">
        <v>1585</v>
      </c>
      <c r="B782">
        <v>1</v>
      </c>
      <c r="C782" s="1">
        <v>44540</v>
      </c>
      <c r="D782" s="2">
        <v>5.0694444444444452E-2</v>
      </c>
      <c r="E782" t="s">
        <v>1586</v>
      </c>
      <c r="F782" t="s">
        <v>13</v>
      </c>
      <c r="G782" t="s">
        <v>13</v>
      </c>
      <c r="H782" t="s">
        <v>13</v>
      </c>
      <c r="I782" t="s">
        <v>14</v>
      </c>
      <c r="J782" t="s">
        <v>27</v>
      </c>
      <c r="K782" t="s">
        <v>21</v>
      </c>
      <c r="L782" t="s">
        <v>17</v>
      </c>
    </row>
    <row r="783" spans="1:12" x14ac:dyDescent="0.25">
      <c r="A783" t="s">
        <v>1587</v>
      </c>
      <c r="B783">
        <v>1</v>
      </c>
      <c r="C783" s="1">
        <v>44540</v>
      </c>
      <c r="D783" s="2">
        <v>0.75486111111111109</v>
      </c>
      <c r="E783" t="s">
        <v>1588</v>
      </c>
      <c r="F783" t="s">
        <v>13</v>
      </c>
      <c r="G783" t="s">
        <v>13</v>
      </c>
      <c r="H783" t="s">
        <v>13</v>
      </c>
      <c r="I783" t="s">
        <v>14</v>
      </c>
      <c r="J783" t="s">
        <v>27</v>
      </c>
      <c r="K783" t="s">
        <v>21</v>
      </c>
      <c r="L783" t="s">
        <v>17</v>
      </c>
    </row>
    <row r="784" spans="1:12" x14ac:dyDescent="0.25">
      <c r="A784" t="s">
        <v>1589</v>
      </c>
      <c r="B784">
        <v>1</v>
      </c>
      <c r="C784" s="1">
        <v>44540</v>
      </c>
      <c r="D784" s="2">
        <v>0.70486111111111116</v>
      </c>
      <c r="E784" t="s">
        <v>1590</v>
      </c>
      <c r="F784" t="s">
        <v>31</v>
      </c>
      <c r="G784" t="s">
        <v>31</v>
      </c>
      <c r="H784" t="s">
        <v>31</v>
      </c>
      <c r="I784" t="s">
        <v>32</v>
      </c>
      <c r="J784" t="s">
        <v>27</v>
      </c>
      <c r="K784" t="s">
        <v>21</v>
      </c>
      <c r="L784" t="s">
        <v>33</v>
      </c>
    </row>
    <row r="785" spans="1:12" x14ac:dyDescent="0.25">
      <c r="A785" t="s">
        <v>1591</v>
      </c>
      <c r="B785">
        <v>1</v>
      </c>
      <c r="C785" s="1">
        <v>44540</v>
      </c>
      <c r="D785" s="2">
        <v>0.65347222222222223</v>
      </c>
      <c r="E785" t="s">
        <v>1592</v>
      </c>
      <c r="F785" t="s">
        <v>13</v>
      </c>
      <c r="G785" t="s">
        <v>13</v>
      </c>
      <c r="H785" t="s">
        <v>13</v>
      </c>
      <c r="I785" t="s">
        <v>14</v>
      </c>
      <c r="J785" t="s">
        <v>27</v>
      </c>
      <c r="K785" t="s">
        <v>21</v>
      </c>
      <c r="L785" t="s">
        <v>17</v>
      </c>
    </row>
    <row r="786" spans="1:12" x14ac:dyDescent="0.25">
      <c r="A786" t="s">
        <v>1593</v>
      </c>
      <c r="B786">
        <v>2</v>
      </c>
      <c r="C786" s="1">
        <v>44540</v>
      </c>
      <c r="D786" s="2">
        <v>0.64722222222222225</v>
      </c>
      <c r="E786" t="s">
        <v>1594</v>
      </c>
      <c r="F786" t="s">
        <v>31</v>
      </c>
      <c r="G786" t="s">
        <v>31</v>
      </c>
      <c r="H786" t="s">
        <v>31</v>
      </c>
      <c r="I786" t="s">
        <v>32</v>
      </c>
      <c r="J786" t="s">
        <v>27</v>
      </c>
      <c r="K786" t="s">
        <v>21</v>
      </c>
      <c r="L786" t="s">
        <v>33</v>
      </c>
    </row>
    <row r="787" spans="1:12" x14ac:dyDescent="0.25">
      <c r="A787" t="s">
        <v>1595</v>
      </c>
      <c r="B787">
        <v>1</v>
      </c>
      <c r="C787" s="1">
        <v>44540</v>
      </c>
      <c r="D787" s="2">
        <v>0.60416666666666663</v>
      </c>
      <c r="E787" t="s">
        <v>1596</v>
      </c>
      <c r="F787" t="s">
        <v>31</v>
      </c>
      <c r="G787" t="s">
        <v>31</v>
      </c>
      <c r="H787" t="s">
        <v>31</v>
      </c>
      <c r="I787" t="s">
        <v>32</v>
      </c>
      <c r="J787" t="s">
        <v>27</v>
      </c>
      <c r="K787" t="s">
        <v>21</v>
      </c>
      <c r="L787" t="s">
        <v>33</v>
      </c>
    </row>
    <row r="788" spans="1:12" x14ac:dyDescent="0.25">
      <c r="A788" t="s">
        <v>1597</v>
      </c>
      <c r="B788">
        <v>1</v>
      </c>
      <c r="C788" s="1">
        <v>44540</v>
      </c>
      <c r="D788" s="2">
        <v>0.47430555555555554</v>
      </c>
      <c r="E788" t="s">
        <v>1598</v>
      </c>
      <c r="F788" t="s">
        <v>31</v>
      </c>
      <c r="G788" t="s">
        <v>31</v>
      </c>
      <c r="H788" t="s">
        <v>31</v>
      </c>
      <c r="I788" t="s">
        <v>32</v>
      </c>
      <c r="J788" t="s">
        <v>27</v>
      </c>
      <c r="K788" t="s">
        <v>21</v>
      </c>
      <c r="L788" t="s">
        <v>33</v>
      </c>
    </row>
    <row r="789" spans="1:12" x14ac:dyDescent="0.25">
      <c r="A789" t="s">
        <v>1599</v>
      </c>
      <c r="B789">
        <v>4</v>
      </c>
      <c r="C789" s="1">
        <v>44540</v>
      </c>
      <c r="D789" s="2">
        <v>0.45277777777777778</v>
      </c>
      <c r="E789" t="s">
        <v>1600</v>
      </c>
      <c r="F789" t="s">
        <v>13</v>
      </c>
      <c r="G789" t="s">
        <v>13</v>
      </c>
      <c r="H789" t="s">
        <v>13</v>
      </c>
      <c r="I789" t="s">
        <v>14</v>
      </c>
      <c r="J789" t="s">
        <v>27</v>
      </c>
      <c r="K789" t="s">
        <v>16</v>
      </c>
      <c r="L789" t="s">
        <v>17</v>
      </c>
    </row>
    <row r="790" spans="1:12" x14ac:dyDescent="0.25">
      <c r="A790" t="s">
        <v>1601</v>
      </c>
      <c r="B790">
        <v>5</v>
      </c>
      <c r="C790" s="1">
        <v>44539</v>
      </c>
      <c r="D790" s="2">
        <v>0.20833333333333334</v>
      </c>
      <c r="E790" t="s">
        <v>1602</v>
      </c>
      <c r="F790" t="s">
        <v>13</v>
      </c>
      <c r="G790" t="s">
        <v>13</v>
      </c>
      <c r="H790" t="s">
        <v>13</v>
      </c>
      <c r="I790" t="s">
        <v>14</v>
      </c>
      <c r="J790" t="s">
        <v>27</v>
      </c>
      <c r="K790" t="s">
        <v>21</v>
      </c>
      <c r="L790" t="s">
        <v>17</v>
      </c>
    </row>
    <row r="791" spans="1:12" x14ac:dyDescent="0.25">
      <c r="A791" t="s">
        <v>1603</v>
      </c>
      <c r="B791">
        <v>1</v>
      </c>
      <c r="C791" s="1">
        <v>44539</v>
      </c>
      <c r="D791" s="2">
        <v>0.71805555555555556</v>
      </c>
      <c r="E791" t="s">
        <v>1604</v>
      </c>
      <c r="F791" t="s">
        <v>13</v>
      </c>
      <c r="G791" t="s">
        <v>13</v>
      </c>
      <c r="H791" t="s">
        <v>13</v>
      </c>
      <c r="I791" t="s">
        <v>14</v>
      </c>
      <c r="J791" t="s">
        <v>27</v>
      </c>
      <c r="K791" t="s">
        <v>21</v>
      </c>
      <c r="L791" t="s">
        <v>17</v>
      </c>
    </row>
    <row r="792" spans="1:12" x14ac:dyDescent="0.25">
      <c r="A792" t="s">
        <v>1605</v>
      </c>
      <c r="B792">
        <v>1</v>
      </c>
      <c r="C792" s="1">
        <v>44539</v>
      </c>
      <c r="D792" s="2">
        <v>0.71388888888888891</v>
      </c>
      <c r="E792" t="s">
        <v>1606</v>
      </c>
      <c r="F792" t="s">
        <v>13</v>
      </c>
      <c r="G792" t="s">
        <v>13</v>
      </c>
      <c r="H792" t="s">
        <v>13</v>
      </c>
      <c r="I792" t="s">
        <v>14</v>
      </c>
      <c r="J792" t="s">
        <v>27</v>
      </c>
      <c r="K792" t="s">
        <v>21</v>
      </c>
      <c r="L792" t="s">
        <v>17</v>
      </c>
    </row>
    <row r="793" spans="1:12" x14ac:dyDescent="0.25">
      <c r="A793" t="s">
        <v>1607</v>
      </c>
      <c r="B793">
        <v>3</v>
      </c>
      <c r="C793" s="1">
        <v>44539</v>
      </c>
      <c r="D793" s="2">
        <v>0.67708333333333337</v>
      </c>
      <c r="E793" t="s">
        <v>1608</v>
      </c>
      <c r="F793" t="s">
        <v>13</v>
      </c>
      <c r="G793" t="s">
        <v>13</v>
      </c>
      <c r="H793" t="s">
        <v>13</v>
      </c>
      <c r="I793" t="s">
        <v>14</v>
      </c>
      <c r="J793" t="s">
        <v>27</v>
      </c>
      <c r="K793" t="s">
        <v>21</v>
      </c>
      <c r="L793" t="s">
        <v>17</v>
      </c>
    </row>
    <row r="794" spans="1:12" x14ac:dyDescent="0.25">
      <c r="A794" t="s">
        <v>1609</v>
      </c>
      <c r="B794">
        <v>5</v>
      </c>
      <c r="C794" s="1">
        <v>44539</v>
      </c>
      <c r="D794" s="2">
        <v>0.64513888888888882</v>
      </c>
      <c r="E794" t="s">
        <v>1610</v>
      </c>
      <c r="F794" t="s">
        <v>36</v>
      </c>
      <c r="G794" t="s">
        <v>36</v>
      </c>
      <c r="H794" t="s">
        <v>36</v>
      </c>
      <c r="I794" t="s">
        <v>13</v>
      </c>
      <c r="J794" t="s">
        <v>27</v>
      </c>
      <c r="K794" t="s">
        <v>28</v>
      </c>
      <c r="L794" t="s">
        <v>17</v>
      </c>
    </row>
    <row r="795" spans="1:12" x14ac:dyDescent="0.25">
      <c r="A795" t="s">
        <v>1611</v>
      </c>
      <c r="B795">
        <v>1</v>
      </c>
      <c r="C795" s="1">
        <v>44539</v>
      </c>
      <c r="D795" s="2">
        <v>3.0555555555555555E-2</v>
      </c>
      <c r="E795" t="s">
        <v>1612</v>
      </c>
      <c r="F795" t="s">
        <v>13</v>
      </c>
      <c r="G795" t="s">
        <v>13</v>
      </c>
      <c r="H795" t="s">
        <v>13</v>
      </c>
      <c r="I795" t="s">
        <v>14</v>
      </c>
      <c r="J795" t="s">
        <v>27</v>
      </c>
      <c r="K795" t="s">
        <v>21</v>
      </c>
      <c r="L795" t="s">
        <v>17</v>
      </c>
    </row>
    <row r="796" spans="1:12" x14ac:dyDescent="0.25">
      <c r="A796" t="s">
        <v>1613</v>
      </c>
      <c r="B796">
        <v>1</v>
      </c>
      <c r="C796" s="1">
        <v>44538</v>
      </c>
      <c r="D796" s="2">
        <v>0.26527777777777778</v>
      </c>
      <c r="E796" t="s">
        <v>1614</v>
      </c>
      <c r="F796" t="s">
        <v>13</v>
      </c>
      <c r="G796" t="s">
        <v>13</v>
      </c>
      <c r="H796" t="s">
        <v>13</v>
      </c>
      <c r="I796" t="s">
        <v>14</v>
      </c>
      <c r="J796" t="s">
        <v>27</v>
      </c>
      <c r="K796" t="s">
        <v>21</v>
      </c>
      <c r="L796" t="s">
        <v>17</v>
      </c>
    </row>
    <row r="797" spans="1:12" x14ac:dyDescent="0.25">
      <c r="A797" t="s">
        <v>1615</v>
      </c>
      <c r="B797">
        <v>3</v>
      </c>
      <c r="C797" s="1">
        <v>44538</v>
      </c>
      <c r="D797" s="2">
        <v>0.95833333333333337</v>
      </c>
      <c r="E797" t="s">
        <v>1616</v>
      </c>
      <c r="F797" t="s">
        <v>13</v>
      </c>
      <c r="G797" t="s">
        <v>13</v>
      </c>
      <c r="H797" t="s">
        <v>13</v>
      </c>
      <c r="I797" t="s">
        <v>14</v>
      </c>
      <c r="J797" t="s">
        <v>27</v>
      </c>
      <c r="K797" t="s">
        <v>21</v>
      </c>
      <c r="L797" t="s">
        <v>17</v>
      </c>
    </row>
    <row r="798" spans="1:12" x14ac:dyDescent="0.25">
      <c r="A798" t="s">
        <v>1617</v>
      </c>
      <c r="B798">
        <v>1</v>
      </c>
      <c r="C798" s="1">
        <v>44538</v>
      </c>
      <c r="D798" s="2">
        <v>7.5694444444444439E-2</v>
      </c>
      <c r="E798" t="s">
        <v>1618</v>
      </c>
      <c r="F798" t="s">
        <v>13</v>
      </c>
      <c r="G798" t="s">
        <v>13</v>
      </c>
      <c r="H798" t="s">
        <v>13</v>
      </c>
      <c r="I798" t="s">
        <v>14</v>
      </c>
      <c r="J798" t="s">
        <v>27</v>
      </c>
      <c r="K798" t="s">
        <v>21</v>
      </c>
      <c r="L798" t="s">
        <v>17</v>
      </c>
    </row>
    <row r="799" spans="1:12" x14ac:dyDescent="0.25">
      <c r="A799" t="s">
        <v>1619</v>
      </c>
      <c r="B799">
        <v>1</v>
      </c>
      <c r="C799" s="1">
        <v>44538</v>
      </c>
      <c r="D799" s="2">
        <v>0.73402777777777783</v>
      </c>
      <c r="E799" t="s">
        <v>1620</v>
      </c>
      <c r="F799" t="s">
        <v>13</v>
      </c>
      <c r="G799" t="s">
        <v>13</v>
      </c>
      <c r="H799" t="s">
        <v>13</v>
      </c>
      <c r="I799" t="s">
        <v>14</v>
      </c>
      <c r="J799" t="s">
        <v>27</v>
      </c>
      <c r="K799" t="s">
        <v>28</v>
      </c>
      <c r="L799" t="s">
        <v>17</v>
      </c>
    </row>
    <row r="800" spans="1:12" x14ac:dyDescent="0.25">
      <c r="A800" t="s">
        <v>1621</v>
      </c>
      <c r="B800">
        <v>3</v>
      </c>
      <c r="C800" s="1">
        <v>44538</v>
      </c>
      <c r="D800" s="2">
        <v>0.66180555555555554</v>
      </c>
      <c r="E800" t="s">
        <v>1622</v>
      </c>
      <c r="F800" t="s">
        <v>31</v>
      </c>
      <c r="G800" t="s">
        <v>31</v>
      </c>
      <c r="H800" t="s">
        <v>31</v>
      </c>
      <c r="I800" t="s">
        <v>32</v>
      </c>
      <c r="J800" t="s">
        <v>27</v>
      </c>
      <c r="K800" t="s">
        <v>21</v>
      </c>
      <c r="L800" t="s">
        <v>33</v>
      </c>
    </row>
    <row r="801" spans="1:12" x14ac:dyDescent="0.25">
      <c r="A801" t="s">
        <v>1623</v>
      </c>
      <c r="B801">
        <v>1</v>
      </c>
      <c r="C801" s="1">
        <v>44538</v>
      </c>
      <c r="D801" s="2">
        <v>0.53749999999999998</v>
      </c>
      <c r="E801" t="s">
        <v>1624</v>
      </c>
      <c r="F801" t="s">
        <v>13</v>
      </c>
      <c r="G801" t="s">
        <v>13</v>
      </c>
      <c r="H801" t="s">
        <v>13</v>
      </c>
      <c r="I801" t="s">
        <v>14</v>
      </c>
      <c r="J801" t="s">
        <v>27</v>
      </c>
      <c r="K801" t="s">
        <v>21</v>
      </c>
      <c r="L801" t="s">
        <v>17</v>
      </c>
    </row>
    <row r="802" spans="1:12" x14ac:dyDescent="0.25">
      <c r="A802" t="s">
        <v>1625</v>
      </c>
      <c r="B802">
        <v>2</v>
      </c>
      <c r="C802" s="1">
        <v>44538</v>
      </c>
      <c r="D802" s="2">
        <v>0.5180555555555556</v>
      </c>
      <c r="E802" t="s">
        <v>1626</v>
      </c>
      <c r="F802" t="s">
        <v>31</v>
      </c>
      <c r="G802" t="s">
        <v>31</v>
      </c>
      <c r="H802" t="s">
        <v>31</v>
      </c>
      <c r="I802" t="s">
        <v>32</v>
      </c>
      <c r="J802" t="s">
        <v>27</v>
      </c>
      <c r="K802" t="s">
        <v>21</v>
      </c>
      <c r="L802" t="s">
        <v>33</v>
      </c>
    </row>
    <row r="803" spans="1:12" x14ac:dyDescent="0.25">
      <c r="A803" t="s">
        <v>1627</v>
      </c>
      <c r="B803">
        <v>1</v>
      </c>
      <c r="C803" s="1">
        <v>44538</v>
      </c>
      <c r="D803" s="2">
        <v>0.4201388888888889</v>
      </c>
      <c r="E803" t="s">
        <v>1628</v>
      </c>
      <c r="F803" t="s">
        <v>13</v>
      </c>
      <c r="G803" t="s">
        <v>13</v>
      </c>
      <c r="H803" t="s">
        <v>13</v>
      </c>
      <c r="I803" t="s">
        <v>14</v>
      </c>
      <c r="J803" t="s">
        <v>27</v>
      </c>
      <c r="K803" t="s">
        <v>16</v>
      </c>
      <c r="L803" t="s">
        <v>17</v>
      </c>
    </row>
    <row r="804" spans="1:12" x14ac:dyDescent="0.25">
      <c r="A804" t="s">
        <v>1629</v>
      </c>
      <c r="B804">
        <v>1</v>
      </c>
      <c r="C804" s="1">
        <v>44537</v>
      </c>
      <c r="D804" s="2">
        <v>0.29097222222222224</v>
      </c>
      <c r="E804" t="s">
        <v>1630</v>
      </c>
      <c r="F804" t="s">
        <v>13</v>
      </c>
      <c r="G804" t="s">
        <v>13</v>
      </c>
      <c r="H804" t="s">
        <v>13</v>
      </c>
      <c r="I804" t="s">
        <v>14</v>
      </c>
      <c r="J804" t="s">
        <v>27</v>
      </c>
      <c r="K804" t="s">
        <v>21</v>
      </c>
      <c r="L804" t="s">
        <v>17</v>
      </c>
    </row>
    <row r="805" spans="1:12" x14ac:dyDescent="0.25">
      <c r="A805" t="s">
        <v>1631</v>
      </c>
      <c r="B805">
        <v>1</v>
      </c>
      <c r="C805" s="1">
        <v>44537</v>
      </c>
      <c r="D805" s="2">
        <v>0.20555555555555557</v>
      </c>
      <c r="E805" t="s">
        <v>1632</v>
      </c>
      <c r="F805" t="s">
        <v>13</v>
      </c>
      <c r="G805" t="s">
        <v>13</v>
      </c>
      <c r="H805" t="s">
        <v>13</v>
      </c>
      <c r="I805" t="s">
        <v>14</v>
      </c>
      <c r="J805" t="s">
        <v>27</v>
      </c>
      <c r="K805" t="s">
        <v>16</v>
      </c>
      <c r="L805" t="s">
        <v>17</v>
      </c>
    </row>
    <row r="806" spans="1:12" x14ac:dyDescent="0.25">
      <c r="A806" t="s">
        <v>1633</v>
      </c>
      <c r="B806">
        <v>1</v>
      </c>
      <c r="C806" s="1">
        <v>44537</v>
      </c>
      <c r="D806" s="2">
        <v>9.4444444444444442E-2</v>
      </c>
      <c r="E806" t="s">
        <v>1634</v>
      </c>
      <c r="F806" t="s">
        <v>13</v>
      </c>
      <c r="G806" t="s">
        <v>13</v>
      </c>
      <c r="H806" t="s">
        <v>13</v>
      </c>
      <c r="I806" t="s">
        <v>14</v>
      </c>
      <c r="J806" t="s">
        <v>27</v>
      </c>
      <c r="K806" t="s">
        <v>21</v>
      </c>
      <c r="L806" t="s">
        <v>17</v>
      </c>
    </row>
    <row r="807" spans="1:12" x14ac:dyDescent="0.25">
      <c r="A807" t="s">
        <v>1635</v>
      </c>
      <c r="B807">
        <v>4</v>
      </c>
      <c r="C807" s="1">
        <v>44537</v>
      </c>
      <c r="D807" s="2">
        <v>0.57500000000000007</v>
      </c>
      <c r="E807" t="s">
        <v>1636</v>
      </c>
      <c r="F807" t="s">
        <v>31</v>
      </c>
      <c r="G807" t="s">
        <v>31</v>
      </c>
      <c r="H807" t="s">
        <v>31</v>
      </c>
      <c r="I807" t="s">
        <v>32</v>
      </c>
      <c r="J807" t="s">
        <v>27</v>
      </c>
      <c r="K807" t="s">
        <v>21</v>
      </c>
      <c r="L807" t="s">
        <v>33</v>
      </c>
    </row>
    <row r="808" spans="1:12" x14ac:dyDescent="0.25">
      <c r="A808" t="s">
        <v>1637</v>
      </c>
      <c r="B808">
        <v>1</v>
      </c>
      <c r="C808" s="1">
        <v>44537</v>
      </c>
      <c r="D808" s="2">
        <v>0.53055555555555556</v>
      </c>
      <c r="E808" t="s">
        <v>1638</v>
      </c>
      <c r="F808" t="s">
        <v>13</v>
      </c>
      <c r="G808" t="s">
        <v>13</v>
      </c>
      <c r="H808" t="s">
        <v>13</v>
      </c>
      <c r="I808" t="s">
        <v>14</v>
      </c>
      <c r="J808" t="s">
        <v>27</v>
      </c>
      <c r="K808" t="s">
        <v>21</v>
      </c>
      <c r="L808" t="s">
        <v>17</v>
      </c>
    </row>
    <row r="809" spans="1:12" x14ac:dyDescent="0.25">
      <c r="A809" t="s">
        <v>1639</v>
      </c>
      <c r="B809">
        <v>1</v>
      </c>
      <c r="C809" s="1">
        <v>44537</v>
      </c>
      <c r="D809" s="2">
        <v>0.51527777777777783</v>
      </c>
      <c r="E809" t="s">
        <v>1640</v>
      </c>
      <c r="F809" t="s">
        <v>13</v>
      </c>
      <c r="G809" t="s">
        <v>13</v>
      </c>
      <c r="H809" t="s">
        <v>13</v>
      </c>
      <c r="I809" t="s">
        <v>14</v>
      </c>
      <c r="J809" t="s">
        <v>27</v>
      </c>
      <c r="K809" t="s">
        <v>16</v>
      </c>
      <c r="L809" t="s">
        <v>17</v>
      </c>
    </row>
    <row r="810" spans="1:12" x14ac:dyDescent="0.25">
      <c r="A810" t="s">
        <v>1641</v>
      </c>
      <c r="B810">
        <v>1</v>
      </c>
      <c r="C810" s="1">
        <v>44537</v>
      </c>
      <c r="D810" s="2">
        <v>0.51250000000000007</v>
      </c>
      <c r="E810" t="s">
        <v>1642</v>
      </c>
      <c r="F810" t="s">
        <v>13</v>
      </c>
      <c r="G810" t="s">
        <v>13</v>
      </c>
      <c r="H810" t="s">
        <v>13</v>
      </c>
      <c r="I810" t="s">
        <v>14</v>
      </c>
      <c r="J810" t="s">
        <v>27</v>
      </c>
      <c r="K810" t="s">
        <v>16</v>
      </c>
      <c r="L810" t="s">
        <v>17</v>
      </c>
    </row>
    <row r="811" spans="1:12" x14ac:dyDescent="0.25">
      <c r="A811" t="s">
        <v>1643</v>
      </c>
      <c r="B811">
        <v>1</v>
      </c>
      <c r="C811" s="1">
        <v>44537</v>
      </c>
      <c r="D811" s="2">
        <v>0.49583333333333335</v>
      </c>
      <c r="E811" t="s">
        <v>1644</v>
      </c>
      <c r="F811" t="s">
        <v>31</v>
      </c>
      <c r="G811" t="s">
        <v>31</v>
      </c>
      <c r="H811" t="s">
        <v>31</v>
      </c>
      <c r="I811" t="s">
        <v>32</v>
      </c>
      <c r="J811" t="s">
        <v>27</v>
      </c>
      <c r="K811" t="s">
        <v>21</v>
      </c>
      <c r="L811" t="s">
        <v>33</v>
      </c>
    </row>
    <row r="812" spans="1:12" x14ac:dyDescent="0.25">
      <c r="A812" t="s">
        <v>1645</v>
      </c>
      <c r="B812">
        <v>5</v>
      </c>
      <c r="C812" s="1">
        <v>44537</v>
      </c>
      <c r="D812" s="2">
        <v>0.4770833333333333</v>
      </c>
      <c r="E812" t="s">
        <v>1646</v>
      </c>
      <c r="F812" t="s">
        <v>31</v>
      </c>
      <c r="G812" t="s">
        <v>31</v>
      </c>
      <c r="H812" t="s">
        <v>31</v>
      </c>
      <c r="I812" t="s">
        <v>32</v>
      </c>
      <c r="J812" t="s">
        <v>27</v>
      </c>
      <c r="K812" t="s">
        <v>21</v>
      </c>
      <c r="L812" t="s">
        <v>33</v>
      </c>
    </row>
    <row r="813" spans="1:12" x14ac:dyDescent="0.25">
      <c r="A813" t="s">
        <v>1647</v>
      </c>
      <c r="B813">
        <v>1</v>
      </c>
      <c r="C813" s="1">
        <v>44537</v>
      </c>
      <c r="D813" s="2">
        <v>6.2499999999999995E-3</v>
      </c>
      <c r="E813" t="s">
        <v>1648</v>
      </c>
      <c r="F813" t="s">
        <v>13</v>
      </c>
      <c r="G813" t="s">
        <v>13</v>
      </c>
      <c r="H813" t="s">
        <v>13</v>
      </c>
      <c r="I813" t="s">
        <v>14</v>
      </c>
      <c r="J813" t="s">
        <v>27</v>
      </c>
      <c r="K813" t="s">
        <v>16</v>
      </c>
      <c r="L813" t="s">
        <v>17</v>
      </c>
    </row>
    <row r="814" spans="1:12" x14ac:dyDescent="0.25">
      <c r="A814" t="s">
        <v>1649</v>
      </c>
      <c r="B814">
        <v>1</v>
      </c>
      <c r="C814" s="1">
        <v>44536</v>
      </c>
      <c r="D814" s="2">
        <v>0.3263888888888889</v>
      </c>
      <c r="E814" t="s">
        <v>1650</v>
      </c>
      <c r="F814" t="s">
        <v>13</v>
      </c>
      <c r="G814" t="s">
        <v>13</v>
      </c>
      <c r="H814" t="s">
        <v>13</v>
      </c>
      <c r="I814" t="s">
        <v>14</v>
      </c>
      <c r="J814" t="s">
        <v>27</v>
      </c>
      <c r="K814" t="s">
        <v>21</v>
      </c>
      <c r="L814" t="s">
        <v>17</v>
      </c>
    </row>
    <row r="815" spans="1:12" x14ac:dyDescent="0.25">
      <c r="A815" t="s">
        <v>1651</v>
      </c>
      <c r="B815">
        <v>3</v>
      </c>
      <c r="C815" s="1">
        <v>44536</v>
      </c>
      <c r="D815" s="2">
        <v>0.32569444444444445</v>
      </c>
      <c r="E815" t="s">
        <v>1652</v>
      </c>
      <c r="F815" t="s">
        <v>13</v>
      </c>
      <c r="G815" t="s">
        <v>13</v>
      </c>
      <c r="H815" t="s">
        <v>13</v>
      </c>
      <c r="I815" t="s">
        <v>14</v>
      </c>
      <c r="J815" t="s">
        <v>27</v>
      </c>
      <c r="K815" t="s">
        <v>16</v>
      </c>
      <c r="L815" t="s">
        <v>17</v>
      </c>
    </row>
    <row r="816" spans="1:12" x14ac:dyDescent="0.25">
      <c r="A816" t="s">
        <v>1653</v>
      </c>
      <c r="B816">
        <v>5</v>
      </c>
      <c r="C816" s="1">
        <v>44536</v>
      </c>
      <c r="D816" s="2">
        <v>0.32222222222222224</v>
      </c>
      <c r="E816" t="s">
        <v>1654</v>
      </c>
      <c r="F816" t="s">
        <v>31</v>
      </c>
      <c r="G816" t="s">
        <v>31</v>
      </c>
      <c r="H816" t="s">
        <v>31</v>
      </c>
      <c r="I816" t="s">
        <v>32</v>
      </c>
      <c r="J816" t="s">
        <v>27</v>
      </c>
      <c r="K816" t="s">
        <v>21</v>
      </c>
      <c r="L816" t="s">
        <v>33</v>
      </c>
    </row>
    <row r="817" spans="1:12" x14ac:dyDescent="0.25">
      <c r="A817" t="s">
        <v>1655</v>
      </c>
      <c r="B817">
        <v>1</v>
      </c>
      <c r="C817" s="1">
        <v>44536</v>
      </c>
      <c r="D817" s="2">
        <v>0.29305555555555557</v>
      </c>
      <c r="E817" t="s">
        <v>1656</v>
      </c>
      <c r="F817" t="s">
        <v>31</v>
      </c>
      <c r="G817" t="s">
        <v>31</v>
      </c>
      <c r="H817" t="s">
        <v>31</v>
      </c>
      <c r="I817" t="s">
        <v>32</v>
      </c>
      <c r="J817" t="s">
        <v>27</v>
      </c>
      <c r="K817" t="s">
        <v>16</v>
      </c>
      <c r="L817" t="s">
        <v>33</v>
      </c>
    </row>
    <row r="818" spans="1:12" x14ac:dyDescent="0.25">
      <c r="A818" t="s">
        <v>1657</v>
      </c>
      <c r="B818">
        <v>4</v>
      </c>
      <c r="C818" s="1">
        <v>44536</v>
      </c>
      <c r="D818" s="2">
        <v>0.29166666666666669</v>
      </c>
      <c r="E818" t="s">
        <v>1658</v>
      </c>
      <c r="F818" t="s">
        <v>36</v>
      </c>
      <c r="G818" t="s">
        <v>36</v>
      </c>
      <c r="H818" t="s">
        <v>36</v>
      </c>
      <c r="I818" t="s">
        <v>13</v>
      </c>
      <c r="J818" t="s">
        <v>27</v>
      </c>
      <c r="K818" t="s">
        <v>21</v>
      </c>
      <c r="L818" t="s">
        <v>17</v>
      </c>
    </row>
    <row r="819" spans="1:12" x14ac:dyDescent="0.25">
      <c r="A819" t="s">
        <v>1659</v>
      </c>
      <c r="B819">
        <v>1</v>
      </c>
      <c r="C819" s="1">
        <v>44536</v>
      </c>
      <c r="D819" s="2">
        <v>0.28402777777777777</v>
      </c>
      <c r="E819" t="s">
        <v>1660</v>
      </c>
      <c r="F819" t="s">
        <v>13</v>
      </c>
      <c r="G819" t="s">
        <v>13</v>
      </c>
      <c r="H819" t="s">
        <v>13</v>
      </c>
      <c r="I819" t="s">
        <v>14</v>
      </c>
      <c r="J819" t="s">
        <v>27</v>
      </c>
      <c r="K819" t="s">
        <v>21</v>
      </c>
      <c r="L819" t="s">
        <v>17</v>
      </c>
    </row>
    <row r="820" spans="1:12" x14ac:dyDescent="0.25">
      <c r="A820" t="s">
        <v>1661</v>
      </c>
      <c r="B820">
        <v>5</v>
      </c>
      <c r="C820" s="1">
        <v>44536</v>
      </c>
      <c r="D820" s="2">
        <v>0.23750000000000002</v>
      </c>
      <c r="E820" t="s">
        <v>1662</v>
      </c>
      <c r="F820" t="s">
        <v>36</v>
      </c>
      <c r="G820" t="s">
        <v>36</v>
      </c>
      <c r="H820" t="s">
        <v>36</v>
      </c>
      <c r="I820" t="s">
        <v>13</v>
      </c>
      <c r="J820" t="s">
        <v>27</v>
      </c>
      <c r="K820" t="s">
        <v>21</v>
      </c>
      <c r="L820" t="s">
        <v>17</v>
      </c>
    </row>
    <row r="821" spans="1:12" x14ac:dyDescent="0.25">
      <c r="A821" t="s">
        <v>1663</v>
      </c>
      <c r="B821">
        <v>1</v>
      </c>
      <c r="C821" s="1">
        <v>44536</v>
      </c>
      <c r="D821" s="2">
        <v>0.12013888888888889</v>
      </c>
      <c r="E821" t="s">
        <v>1664</v>
      </c>
      <c r="F821" t="s">
        <v>13</v>
      </c>
      <c r="G821" t="s">
        <v>13</v>
      </c>
      <c r="H821" t="s">
        <v>13</v>
      </c>
      <c r="I821" t="s">
        <v>14</v>
      </c>
      <c r="J821" t="s">
        <v>27</v>
      </c>
      <c r="K821" t="s">
        <v>21</v>
      </c>
      <c r="L821" t="s">
        <v>17</v>
      </c>
    </row>
    <row r="822" spans="1:12" x14ac:dyDescent="0.25">
      <c r="A822" t="s">
        <v>1665</v>
      </c>
      <c r="B822">
        <v>1</v>
      </c>
      <c r="C822" s="1">
        <v>44536</v>
      </c>
      <c r="D822" s="2">
        <v>0.11805555555555557</v>
      </c>
      <c r="E822" t="s">
        <v>1666</v>
      </c>
      <c r="F822" t="s">
        <v>13</v>
      </c>
      <c r="G822" t="s">
        <v>13</v>
      </c>
      <c r="H822" t="s">
        <v>13</v>
      </c>
      <c r="I822" t="s">
        <v>14</v>
      </c>
      <c r="J822" t="s">
        <v>27</v>
      </c>
      <c r="K822" t="s">
        <v>21</v>
      </c>
      <c r="L822" t="s">
        <v>17</v>
      </c>
    </row>
    <row r="823" spans="1:12" x14ac:dyDescent="0.25">
      <c r="A823" t="s">
        <v>1667</v>
      </c>
      <c r="B823">
        <v>3</v>
      </c>
      <c r="C823" s="1">
        <v>44536</v>
      </c>
      <c r="D823" s="2">
        <v>6.5277777777777782E-2</v>
      </c>
      <c r="E823" t="s">
        <v>1668</v>
      </c>
      <c r="F823" t="s">
        <v>13</v>
      </c>
      <c r="G823" t="s">
        <v>13</v>
      </c>
      <c r="H823" t="s">
        <v>13</v>
      </c>
      <c r="I823" t="s">
        <v>14</v>
      </c>
      <c r="J823" t="s">
        <v>27</v>
      </c>
      <c r="K823" t="s">
        <v>28</v>
      </c>
      <c r="L823" t="s">
        <v>17</v>
      </c>
    </row>
    <row r="824" spans="1:12" x14ac:dyDescent="0.25">
      <c r="A824" t="s">
        <v>1669</v>
      </c>
      <c r="B824">
        <v>1</v>
      </c>
      <c r="C824" s="1">
        <v>44536</v>
      </c>
      <c r="D824" s="2">
        <v>4.8611111111111112E-2</v>
      </c>
      <c r="E824" t="s">
        <v>1670</v>
      </c>
      <c r="F824" t="s">
        <v>13</v>
      </c>
      <c r="G824" t="s">
        <v>13</v>
      </c>
      <c r="H824" t="s">
        <v>13</v>
      </c>
      <c r="I824" t="s">
        <v>14</v>
      </c>
      <c r="J824" t="s">
        <v>27</v>
      </c>
      <c r="K824" t="s">
        <v>21</v>
      </c>
      <c r="L824" t="s">
        <v>17</v>
      </c>
    </row>
    <row r="825" spans="1:12" x14ac:dyDescent="0.25">
      <c r="A825" t="s">
        <v>1671</v>
      </c>
      <c r="B825">
        <v>1</v>
      </c>
      <c r="C825" s="1">
        <v>44536</v>
      </c>
      <c r="D825" s="2">
        <v>0.67638888888888893</v>
      </c>
      <c r="E825" t="s">
        <v>1672</v>
      </c>
      <c r="F825" t="s">
        <v>31</v>
      </c>
      <c r="G825" t="s">
        <v>31</v>
      </c>
      <c r="H825" t="s">
        <v>31</v>
      </c>
      <c r="I825" t="s">
        <v>32</v>
      </c>
      <c r="J825" t="s">
        <v>27</v>
      </c>
      <c r="K825" t="s">
        <v>21</v>
      </c>
      <c r="L825" t="s">
        <v>33</v>
      </c>
    </row>
    <row r="826" spans="1:12" x14ac:dyDescent="0.25">
      <c r="A826" t="s">
        <v>1673</v>
      </c>
      <c r="B826">
        <v>3</v>
      </c>
      <c r="C826" s="1">
        <v>44536</v>
      </c>
      <c r="D826" s="2">
        <v>0.66111111111111109</v>
      </c>
      <c r="E826" t="s">
        <v>1674</v>
      </c>
      <c r="F826" t="s">
        <v>31</v>
      </c>
      <c r="G826" t="s">
        <v>31</v>
      </c>
      <c r="H826" t="s">
        <v>31</v>
      </c>
      <c r="I826" t="s">
        <v>32</v>
      </c>
      <c r="J826" t="s">
        <v>27</v>
      </c>
      <c r="K826" t="s">
        <v>21</v>
      </c>
      <c r="L826" t="s">
        <v>33</v>
      </c>
    </row>
    <row r="827" spans="1:12" x14ac:dyDescent="0.25">
      <c r="A827" t="s">
        <v>1675</v>
      </c>
      <c r="B827">
        <v>1</v>
      </c>
      <c r="C827" s="1">
        <v>44536</v>
      </c>
      <c r="D827" s="2">
        <v>0.60972222222222217</v>
      </c>
      <c r="E827" t="s">
        <v>1676</v>
      </c>
      <c r="F827" t="s">
        <v>13</v>
      </c>
      <c r="G827" t="s">
        <v>13</v>
      </c>
      <c r="H827" t="s">
        <v>13</v>
      </c>
      <c r="I827" t="s">
        <v>14</v>
      </c>
      <c r="J827" t="s">
        <v>27</v>
      </c>
      <c r="K827" t="s">
        <v>21</v>
      </c>
      <c r="L827" t="s">
        <v>17</v>
      </c>
    </row>
    <row r="828" spans="1:12" x14ac:dyDescent="0.25">
      <c r="A828" t="s">
        <v>1677</v>
      </c>
      <c r="B828">
        <v>1</v>
      </c>
      <c r="C828" s="1">
        <v>44536</v>
      </c>
      <c r="D828" s="2">
        <v>0.59861111111111109</v>
      </c>
      <c r="E828" t="s">
        <v>1678</v>
      </c>
      <c r="F828" t="s">
        <v>31</v>
      </c>
      <c r="G828" t="s">
        <v>31</v>
      </c>
      <c r="H828" t="s">
        <v>31</v>
      </c>
      <c r="I828" t="s">
        <v>32</v>
      </c>
      <c r="J828" t="s">
        <v>27</v>
      </c>
      <c r="K828" t="s">
        <v>21</v>
      </c>
      <c r="L828" t="s">
        <v>33</v>
      </c>
    </row>
    <row r="829" spans="1:12" x14ac:dyDescent="0.25">
      <c r="A829" t="s">
        <v>1679</v>
      </c>
      <c r="B829">
        <v>1</v>
      </c>
      <c r="C829" s="1">
        <v>44536</v>
      </c>
      <c r="D829" s="2">
        <v>0.47916666666666669</v>
      </c>
      <c r="E829" t="s">
        <v>1680</v>
      </c>
      <c r="F829" t="s">
        <v>13</v>
      </c>
      <c r="G829" t="s">
        <v>13</v>
      </c>
      <c r="H829" t="s">
        <v>13</v>
      </c>
      <c r="I829" t="s">
        <v>14</v>
      </c>
      <c r="J829" t="s">
        <v>27</v>
      </c>
      <c r="K829" t="s">
        <v>21</v>
      </c>
      <c r="L829" t="s">
        <v>17</v>
      </c>
    </row>
    <row r="830" spans="1:12" x14ac:dyDescent="0.25">
      <c r="A830" t="s">
        <v>1681</v>
      </c>
      <c r="B830">
        <v>1</v>
      </c>
      <c r="C830" s="1">
        <v>44535</v>
      </c>
      <c r="D830" s="2">
        <v>0.3659722222222222</v>
      </c>
      <c r="E830" t="s">
        <v>1682</v>
      </c>
      <c r="F830" t="s">
        <v>13</v>
      </c>
      <c r="G830" t="s">
        <v>13</v>
      </c>
      <c r="H830" t="s">
        <v>13</v>
      </c>
      <c r="I830" t="s">
        <v>14</v>
      </c>
      <c r="J830" t="s">
        <v>27</v>
      </c>
      <c r="K830" t="s">
        <v>28</v>
      </c>
      <c r="L830" t="s">
        <v>17</v>
      </c>
    </row>
    <row r="831" spans="1:12" x14ac:dyDescent="0.25">
      <c r="A831" t="s">
        <v>1683</v>
      </c>
      <c r="B831">
        <v>1</v>
      </c>
      <c r="C831" s="1">
        <v>44535</v>
      </c>
      <c r="D831" s="2">
        <v>0.36249999999999999</v>
      </c>
      <c r="E831" t="s">
        <v>1684</v>
      </c>
      <c r="F831" t="s">
        <v>13</v>
      </c>
      <c r="G831" t="s">
        <v>13</v>
      </c>
      <c r="H831" t="s">
        <v>13</v>
      </c>
      <c r="I831" t="s">
        <v>14</v>
      </c>
      <c r="J831" t="s">
        <v>27</v>
      </c>
      <c r="K831" t="s">
        <v>21</v>
      </c>
      <c r="L831" t="s">
        <v>17</v>
      </c>
    </row>
    <row r="832" spans="1:12" x14ac:dyDescent="0.25">
      <c r="A832" t="s">
        <v>1685</v>
      </c>
      <c r="B832">
        <v>1</v>
      </c>
      <c r="C832" s="1">
        <v>44535</v>
      </c>
      <c r="D832" s="2">
        <v>0.16944444444444443</v>
      </c>
      <c r="E832" t="s">
        <v>1686</v>
      </c>
      <c r="F832" t="s">
        <v>13</v>
      </c>
      <c r="G832" t="s">
        <v>13</v>
      </c>
      <c r="H832" t="s">
        <v>13</v>
      </c>
      <c r="I832" t="s">
        <v>14</v>
      </c>
      <c r="J832" t="s">
        <v>27</v>
      </c>
      <c r="K832" t="s">
        <v>21</v>
      </c>
      <c r="L832" t="s">
        <v>17</v>
      </c>
    </row>
    <row r="833" spans="1:12" x14ac:dyDescent="0.25">
      <c r="A833" t="s">
        <v>1687</v>
      </c>
      <c r="B833">
        <v>1</v>
      </c>
      <c r="C833" s="1">
        <v>44535</v>
      </c>
      <c r="D833" s="2">
        <v>0.1173611111111111</v>
      </c>
      <c r="E833" t="s">
        <v>1688</v>
      </c>
      <c r="F833" t="s">
        <v>31</v>
      </c>
      <c r="G833" t="s">
        <v>31</v>
      </c>
      <c r="H833" t="s">
        <v>31</v>
      </c>
      <c r="I833" t="s">
        <v>32</v>
      </c>
      <c r="J833" t="s">
        <v>27</v>
      </c>
      <c r="K833" t="s">
        <v>21</v>
      </c>
      <c r="L833" t="s">
        <v>33</v>
      </c>
    </row>
    <row r="834" spans="1:12" x14ac:dyDescent="0.25">
      <c r="A834" t="s">
        <v>1689</v>
      </c>
      <c r="B834">
        <v>5</v>
      </c>
      <c r="C834" s="1">
        <v>44535</v>
      </c>
      <c r="D834" s="2">
        <v>0.96805555555555556</v>
      </c>
      <c r="E834" t="s">
        <v>1690</v>
      </c>
      <c r="F834" t="s">
        <v>31</v>
      </c>
      <c r="G834" t="s">
        <v>31</v>
      </c>
      <c r="H834" t="s">
        <v>31</v>
      </c>
      <c r="I834" t="s">
        <v>32</v>
      </c>
      <c r="J834" t="s">
        <v>27</v>
      </c>
      <c r="K834" t="s">
        <v>21</v>
      </c>
      <c r="L834" t="s">
        <v>33</v>
      </c>
    </row>
    <row r="835" spans="1:12" x14ac:dyDescent="0.25">
      <c r="A835" t="s">
        <v>1691</v>
      </c>
      <c r="B835">
        <v>1</v>
      </c>
      <c r="C835" s="1">
        <v>44535</v>
      </c>
      <c r="D835" s="2">
        <v>0.92638888888888893</v>
      </c>
      <c r="E835" t="s">
        <v>1692</v>
      </c>
      <c r="F835" t="s">
        <v>13</v>
      </c>
      <c r="G835" t="s">
        <v>13</v>
      </c>
      <c r="H835" t="s">
        <v>13</v>
      </c>
      <c r="I835" t="s">
        <v>14</v>
      </c>
      <c r="J835" t="s">
        <v>27</v>
      </c>
      <c r="K835" t="s">
        <v>21</v>
      </c>
      <c r="L835" t="s">
        <v>17</v>
      </c>
    </row>
    <row r="836" spans="1:12" x14ac:dyDescent="0.25">
      <c r="A836" t="s">
        <v>1693</v>
      </c>
      <c r="B836">
        <v>1</v>
      </c>
      <c r="C836" s="1">
        <v>44535</v>
      </c>
      <c r="D836" s="2">
        <v>7.4305555555555555E-2</v>
      </c>
      <c r="E836" t="s">
        <v>1694</v>
      </c>
      <c r="F836" t="s">
        <v>31</v>
      </c>
      <c r="G836" t="s">
        <v>31</v>
      </c>
      <c r="H836" t="s">
        <v>31</v>
      </c>
      <c r="I836" t="s">
        <v>32</v>
      </c>
      <c r="J836" t="s">
        <v>27</v>
      </c>
      <c r="K836" t="s">
        <v>21</v>
      </c>
      <c r="L836" t="s">
        <v>33</v>
      </c>
    </row>
    <row r="837" spans="1:12" x14ac:dyDescent="0.25">
      <c r="A837" t="s">
        <v>1695</v>
      </c>
      <c r="B837">
        <v>1</v>
      </c>
      <c r="C837" s="1">
        <v>44535</v>
      </c>
      <c r="D837" s="2">
        <v>0.74583333333333324</v>
      </c>
      <c r="E837" t="s">
        <v>1696</v>
      </c>
      <c r="F837" t="s">
        <v>31</v>
      </c>
      <c r="G837" t="s">
        <v>31</v>
      </c>
      <c r="H837" t="s">
        <v>31</v>
      </c>
      <c r="I837" t="s">
        <v>32</v>
      </c>
      <c r="J837" t="s">
        <v>27</v>
      </c>
      <c r="K837" t="s">
        <v>16</v>
      </c>
      <c r="L837" t="s">
        <v>33</v>
      </c>
    </row>
    <row r="838" spans="1:12" x14ac:dyDescent="0.25">
      <c r="A838" t="s">
        <v>1697</v>
      </c>
      <c r="B838">
        <v>3</v>
      </c>
      <c r="C838" s="1">
        <v>44535</v>
      </c>
      <c r="D838" s="2">
        <v>0.43055555555555558</v>
      </c>
      <c r="E838" t="s">
        <v>1698</v>
      </c>
      <c r="F838" t="s">
        <v>36</v>
      </c>
      <c r="G838" t="s">
        <v>36</v>
      </c>
      <c r="H838" t="s">
        <v>36</v>
      </c>
      <c r="I838" t="s">
        <v>13</v>
      </c>
      <c r="J838" t="s">
        <v>27</v>
      </c>
      <c r="K838" t="s">
        <v>21</v>
      </c>
      <c r="L838" t="s">
        <v>17</v>
      </c>
    </row>
    <row r="839" spans="1:12" x14ac:dyDescent="0.25">
      <c r="A839" t="s">
        <v>1699</v>
      </c>
      <c r="B839">
        <v>4</v>
      </c>
      <c r="C839" s="1">
        <v>44535</v>
      </c>
      <c r="D839" s="2">
        <v>1.3888888888888888E-2</v>
      </c>
      <c r="E839" t="s">
        <v>1700</v>
      </c>
      <c r="F839" t="s">
        <v>36</v>
      </c>
      <c r="G839" t="s">
        <v>36</v>
      </c>
      <c r="H839" t="s">
        <v>36</v>
      </c>
      <c r="I839" t="s">
        <v>13</v>
      </c>
      <c r="J839" t="s">
        <v>27</v>
      </c>
      <c r="K839" t="s">
        <v>21</v>
      </c>
      <c r="L839" t="s">
        <v>17</v>
      </c>
    </row>
    <row r="840" spans="1:12" x14ac:dyDescent="0.25">
      <c r="A840" t="s">
        <v>1701</v>
      </c>
      <c r="B840">
        <v>1</v>
      </c>
      <c r="C840" s="1">
        <v>44534</v>
      </c>
      <c r="D840" s="2">
        <v>3.2638888888888891E-2</v>
      </c>
      <c r="E840" t="s">
        <v>1702</v>
      </c>
      <c r="F840" t="s">
        <v>31</v>
      </c>
      <c r="G840" t="s">
        <v>31</v>
      </c>
      <c r="H840" t="s">
        <v>31</v>
      </c>
      <c r="I840" t="s">
        <v>32</v>
      </c>
      <c r="J840" t="s">
        <v>27</v>
      </c>
      <c r="K840" t="s">
        <v>21</v>
      </c>
      <c r="L840" t="s">
        <v>33</v>
      </c>
    </row>
    <row r="841" spans="1:12" x14ac:dyDescent="0.25">
      <c r="A841" t="s">
        <v>1703</v>
      </c>
      <c r="B841">
        <v>3</v>
      </c>
      <c r="C841" s="1">
        <v>44533</v>
      </c>
      <c r="D841" s="2">
        <v>0.28541666666666665</v>
      </c>
      <c r="E841" t="s">
        <v>1704</v>
      </c>
      <c r="F841" t="s">
        <v>13</v>
      </c>
      <c r="G841" t="s">
        <v>13</v>
      </c>
      <c r="H841" t="s">
        <v>13</v>
      </c>
      <c r="I841" t="s">
        <v>14</v>
      </c>
      <c r="J841" t="s">
        <v>27</v>
      </c>
      <c r="K841" t="s">
        <v>28</v>
      </c>
      <c r="L841" t="s">
        <v>17</v>
      </c>
    </row>
    <row r="842" spans="1:12" x14ac:dyDescent="0.25">
      <c r="A842" t="s">
        <v>1705</v>
      </c>
      <c r="B842">
        <v>1</v>
      </c>
      <c r="C842" s="1">
        <v>44533</v>
      </c>
      <c r="D842" s="2">
        <v>0.2298611111111111</v>
      </c>
      <c r="E842" t="s">
        <v>1706</v>
      </c>
      <c r="F842" t="s">
        <v>13</v>
      </c>
      <c r="G842" t="s">
        <v>13</v>
      </c>
      <c r="H842" t="s">
        <v>13</v>
      </c>
      <c r="I842" t="s">
        <v>14</v>
      </c>
      <c r="J842" t="s">
        <v>27</v>
      </c>
      <c r="K842" t="s">
        <v>21</v>
      </c>
      <c r="L842" t="s">
        <v>17</v>
      </c>
    </row>
    <row r="843" spans="1:12" x14ac:dyDescent="0.25">
      <c r="A843" t="s">
        <v>1707</v>
      </c>
      <c r="B843">
        <v>1</v>
      </c>
      <c r="C843" s="1">
        <v>44533</v>
      </c>
      <c r="D843" s="2">
        <v>0.20208333333333331</v>
      </c>
      <c r="E843" t="s">
        <v>1708</v>
      </c>
      <c r="F843" t="s">
        <v>13</v>
      </c>
      <c r="G843" t="s">
        <v>13</v>
      </c>
      <c r="H843" t="s">
        <v>13</v>
      </c>
      <c r="I843" t="s">
        <v>14</v>
      </c>
      <c r="J843" t="s">
        <v>27</v>
      </c>
      <c r="K843" t="s">
        <v>21</v>
      </c>
      <c r="L843" t="s">
        <v>17</v>
      </c>
    </row>
    <row r="844" spans="1:12" x14ac:dyDescent="0.25">
      <c r="A844" t="s">
        <v>1709</v>
      </c>
      <c r="B844">
        <v>1</v>
      </c>
      <c r="C844" s="1">
        <v>44533</v>
      </c>
      <c r="D844" s="2">
        <v>0.19375000000000001</v>
      </c>
      <c r="E844" t="s">
        <v>1710</v>
      </c>
      <c r="F844" t="s">
        <v>13</v>
      </c>
      <c r="G844" t="s">
        <v>13</v>
      </c>
      <c r="H844" t="s">
        <v>13</v>
      </c>
      <c r="I844" t="s">
        <v>14</v>
      </c>
      <c r="J844" t="s">
        <v>27</v>
      </c>
      <c r="K844" t="s">
        <v>21</v>
      </c>
      <c r="L844" t="s">
        <v>17</v>
      </c>
    </row>
    <row r="845" spans="1:12" x14ac:dyDescent="0.25">
      <c r="A845" t="s">
        <v>1711</v>
      </c>
      <c r="B845">
        <v>2</v>
      </c>
      <c r="C845" s="1">
        <v>44533</v>
      </c>
      <c r="D845" s="2">
        <v>0.19375000000000001</v>
      </c>
      <c r="E845" t="s">
        <v>1712</v>
      </c>
      <c r="F845" t="s">
        <v>31</v>
      </c>
      <c r="G845" t="s">
        <v>31</v>
      </c>
      <c r="H845" t="s">
        <v>31</v>
      </c>
      <c r="I845" t="s">
        <v>32</v>
      </c>
      <c r="J845" t="s">
        <v>27</v>
      </c>
      <c r="K845" t="s">
        <v>21</v>
      </c>
      <c r="L845" t="s">
        <v>33</v>
      </c>
    </row>
    <row r="846" spans="1:12" x14ac:dyDescent="0.25">
      <c r="A846" t="s">
        <v>1713</v>
      </c>
      <c r="B846">
        <v>1</v>
      </c>
      <c r="C846" s="1">
        <v>44533</v>
      </c>
      <c r="D846" s="2">
        <v>0.17291666666666669</v>
      </c>
      <c r="E846" t="s">
        <v>1714</v>
      </c>
      <c r="F846" t="s">
        <v>13</v>
      </c>
      <c r="G846" t="s">
        <v>13</v>
      </c>
      <c r="H846" t="s">
        <v>13</v>
      </c>
      <c r="I846" t="s">
        <v>14</v>
      </c>
      <c r="J846" t="s">
        <v>27</v>
      </c>
      <c r="K846" t="s">
        <v>21</v>
      </c>
      <c r="L846" t="s">
        <v>17</v>
      </c>
    </row>
    <row r="847" spans="1:12" x14ac:dyDescent="0.25">
      <c r="A847" t="s">
        <v>1715</v>
      </c>
      <c r="B847">
        <v>1</v>
      </c>
      <c r="C847" s="1">
        <v>44533</v>
      </c>
      <c r="D847" s="2">
        <v>0.17083333333333331</v>
      </c>
      <c r="E847" t="s">
        <v>1716</v>
      </c>
      <c r="F847" t="s">
        <v>13</v>
      </c>
      <c r="G847" t="s">
        <v>13</v>
      </c>
      <c r="H847" t="s">
        <v>13</v>
      </c>
      <c r="I847" t="s">
        <v>14</v>
      </c>
      <c r="J847" t="s">
        <v>27</v>
      </c>
      <c r="K847" t="s">
        <v>28</v>
      </c>
      <c r="L847" t="s">
        <v>17</v>
      </c>
    </row>
    <row r="848" spans="1:12" x14ac:dyDescent="0.25">
      <c r="A848" t="s">
        <v>1717</v>
      </c>
      <c r="B848">
        <v>1</v>
      </c>
      <c r="C848" s="1">
        <v>44533</v>
      </c>
      <c r="D848" s="2">
        <v>0.17013888888888887</v>
      </c>
      <c r="E848" t="s">
        <v>1718</v>
      </c>
      <c r="F848" t="s">
        <v>13</v>
      </c>
      <c r="G848" t="s">
        <v>13</v>
      </c>
      <c r="H848" t="s">
        <v>13</v>
      </c>
      <c r="I848" t="s">
        <v>14</v>
      </c>
      <c r="J848" t="s">
        <v>27</v>
      </c>
      <c r="K848" t="s">
        <v>21</v>
      </c>
      <c r="L848" t="s">
        <v>17</v>
      </c>
    </row>
    <row r="849" spans="1:12" x14ac:dyDescent="0.25">
      <c r="A849" t="s">
        <v>1719</v>
      </c>
      <c r="B849">
        <v>5</v>
      </c>
      <c r="C849" s="1">
        <v>44533</v>
      </c>
      <c r="D849" s="2">
        <v>0.1673611111111111</v>
      </c>
      <c r="E849" t="s">
        <v>1720</v>
      </c>
      <c r="F849" t="s">
        <v>36</v>
      </c>
      <c r="G849" t="s">
        <v>36</v>
      </c>
      <c r="H849" t="s">
        <v>36</v>
      </c>
      <c r="I849" t="s">
        <v>13</v>
      </c>
      <c r="J849" t="s">
        <v>27</v>
      </c>
      <c r="K849" t="s">
        <v>28</v>
      </c>
      <c r="L849" t="s">
        <v>17</v>
      </c>
    </row>
    <row r="850" spans="1:12" x14ac:dyDescent="0.25">
      <c r="A850" t="s">
        <v>1721</v>
      </c>
      <c r="B850">
        <v>1</v>
      </c>
      <c r="C850" s="1">
        <v>44533</v>
      </c>
      <c r="D850" s="2">
        <v>0.15069444444444444</v>
      </c>
      <c r="E850" t="s">
        <v>1722</v>
      </c>
      <c r="F850" t="s">
        <v>13</v>
      </c>
      <c r="G850" t="s">
        <v>13</v>
      </c>
      <c r="H850" t="s">
        <v>13</v>
      </c>
      <c r="I850" t="s">
        <v>14</v>
      </c>
      <c r="J850" t="s">
        <v>27</v>
      </c>
      <c r="K850" t="s">
        <v>28</v>
      </c>
      <c r="L850" t="s">
        <v>17</v>
      </c>
    </row>
    <row r="851" spans="1:12" x14ac:dyDescent="0.25">
      <c r="A851" t="s">
        <v>1723</v>
      </c>
      <c r="B851">
        <v>1</v>
      </c>
      <c r="C851" s="1">
        <v>44533</v>
      </c>
      <c r="D851" s="2">
        <v>9.930555555555555E-2</v>
      </c>
      <c r="E851" t="s">
        <v>1724</v>
      </c>
      <c r="F851" t="s">
        <v>31</v>
      </c>
      <c r="G851" t="s">
        <v>31</v>
      </c>
      <c r="H851" t="s">
        <v>31</v>
      </c>
      <c r="I851" t="s">
        <v>32</v>
      </c>
      <c r="J851" t="s">
        <v>27</v>
      </c>
      <c r="K851" t="s">
        <v>21</v>
      </c>
      <c r="L851" t="s">
        <v>33</v>
      </c>
    </row>
    <row r="852" spans="1:12" x14ac:dyDescent="0.25">
      <c r="A852" t="s">
        <v>1725</v>
      </c>
      <c r="B852">
        <v>1</v>
      </c>
      <c r="C852" s="1">
        <v>44533</v>
      </c>
      <c r="D852" s="2">
        <v>0.71736111111111101</v>
      </c>
      <c r="E852" t="s">
        <v>1726</v>
      </c>
      <c r="F852" t="s">
        <v>13</v>
      </c>
      <c r="G852" t="s">
        <v>13</v>
      </c>
      <c r="H852" t="s">
        <v>13</v>
      </c>
      <c r="I852" t="s">
        <v>14</v>
      </c>
      <c r="J852" t="s">
        <v>27</v>
      </c>
      <c r="K852" t="s">
        <v>28</v>
      </c>
      <c r="L852" t="s">
        <v>17</v>
      </c>
    </row>
    <row r="853" spans="1:12" x14ac:dyDescent="0.25">
      <c r="A853" t="s">
        <v>1727</v>
      </c>
      <c r="B853">
        <v>5</v>
      </c>
      <c r="C853" s="1">
        <v>44533</v>
      </c>
      <c r="D853" s="2">
        <v>0.65763888888888888</v>
      </c>
      <c r="E853" t="s">
        <v>1728</v>
      </c>
      <c r="F853" t="s">
        <v>36</v>
      </c>
      <c r="G853" t="s">
        <v>36</v>
      </c>
      <c r="H853" t="s">
        <v>36</v>
      </c>
      <c r="I853" t="s">
        <v>13</v>
      </c>
      <c r="J853" t="s">
        <v>27</v>
      </c>
      <c r="K853" t="s">
        <v>21</v>
      </c>
      <c r="L853" t="s">
        <v>17</v>
      </c>
    </row>
    <row r="854" spans="1:12" x14ac:dyDescent="0.25">
      <c r="A854" t="s">
        <v>1729</v>
      </c>
      <c r="B854">
        <v>1</v>
      </c>
      <c r="C854" s="1">
        <v>44533</v>
      </c>
      <c r="D854" s="2">
        <v>0.64930555555555558</v>
      </c>
      <c r="E854" t="s">
        <v>1730</v>
      </c>
      <c r="F854" t="s">
        <v>13</v>
      </c>
      <c r="G854" t="s">
        <v>13</v>
      </c>
      <c r="H854" t="s">
        <v>13</v>
      </c>
      <c r="I854" t="s">
        <v>14</v>
      </c>
      <c r="J854" t="s">
        <v>27</v>
      </c>
      <c r="K854" t="s">
        <v>21</v>
      </c>
      <c r="L854" t="s">
        <v>17</v>
      </c>
    </row>
    <row r="855" spans="1:12" x14ac:dyDescent="0.25">
      <c r="A855" t="s">
        <v>1731</v>
      </c>
      <c r="B855">
        <v>1</v>
      </c>
      <c r="C855" s="1">
        <v>44533</v>
      </c>
      <c r="D855" s="2">
        <v>0.64374999999999993</v>
      </c>
      <c r="E855" t="s">
        <v>1732</v>
      </c>
      <c r="F855" t="s">
        <v>31</v>
      </c>
      <c r="G855" t="s">
        <v>31</v>
      </c>
      <c r="H855" t="s">
        <v>31</v>
      </c>
      <c r="I855" t="s">
        <v>32</v>
      </c>
      <c r="J855" t="s">
        <v>27</v>
      </c>
      <c r="K855" t="s">
        <v>16</v>
      </c>
      <c r="L855" t="s">
        <v>33</v>
      </c>
    </row>
    <row r="856" spans="1:12" x14ac:dyDescent="0.25">
      <c r="A856" t="s">
        <v>1733</v>
      </c>
      <c r="B856">
        <v>5</v>
      </c>
      <c r="C856" s="1">
        <v>44533</v>
      </c>
      <c r="D856" s="2">
        <v>0.64236111111111105</v>
      </c>
      <c r="E856" t="s">
        <v>1734</v>
      </c>
      <c r="F856" t="s">
        <v>31</v>
      </c>
      <c r="G856" t="s">
        <v>31</v>
      </c>
      <c r="H856" t="s">
        <v>31</v>
      </c>
      <c r="I856" t="s">
        <v>32</v>
      </c>
      <c r="J856" t="s">
        <v>27</v>
      </c>
      <c r="K856" t="s">
        <v>28</v>
      </c>
      <c r="L856" t="s">
        <v>33</v>
      </c>
    </row>
    <row r="857" spans="1:12" x14ac:dyDescent="0.25">
      <c r="A857" t="s">
        <v>1735</v>
      </c>
      <c r="B857">
        <v>2</v>
      </c>
      <c r="C857" s="1">
        <v>44533</v>
      </c>
      <c r="D857" s="2">
        <v>0.54097222222222219</v>
      </c>
      <c r="E857" t="s">
        <v>1736</v>
      </c>
      <c r="F857" t="s">
        <v>31</v>
      </c>
      <c r="G857" t="s">
        <v>31</v>
      </c>
      <c r="H857" t="s">
        <v>31</v>
      </c>
      <c r="I857" t="s">
        <v>32</v>
      </c>
      <c r="J857" t="s">
        <v>27</v>
      </c>
      <c r="K857" t="s">
        <v>21</v>
      </c>
      <c r="L857" t="s">
        <v>33</v>
      </c>
    </row>
    <row r="858" spans="1:12" x14ac:dyDescent="0.25">
      <c r="A858" t="s">
        <v>1737</v>
      </c>
      <c r="B858">
        <v>1</v>
      </c>
      <c r="C858" s="1">
        <v>44533</v>
      </c>
      <c r="D858" s="2">
        <v>0.53263888888888888</v>
      </c>
      <c r="E858" t="s">
        <v>1738</v>
      </c>
      <c r="F858" t="s">
        <v>13</v>
      </c>
      <c r="G858" t="s">
        <v>13</v>
      </c>
      <c r="H858" t="s">
        <v>13</v>
      </c>
      <c r="I858" t="s">
        <v>14</v>
      </c>
      <c r="J858" t="s">
        <v>27</v>
      </c>
      <c r="K858" t="s">
        <v>21</v>
      </c>
      <c r="L858" t="s">
        <v>17</v>
      </c>
    </row>
    <row r="859" spans="1:12" x14ac:dyDescent="0.25">
      <c r="A859" t="s">
        <v>1739</v>
      </c>
      <c r="B859">
        <v>1</v>
      </c>
      <c r="C859" s="1">
        <v>44533</v>
      </c>
      <c r="D859" s="2">
        <v>0.51180555555555551</v>
      </c>
      <c r="E859" t="s">
        <v>1740</v>
      </c>
      <c r="F859" t="s">
        <v>13</v>
      </c>
      <c r="G859" t="s">
        <v>13</v>
      </c>
      <c r="H859" t="s">
        <v>13</v>
      </c>
      <c r="I859" t="s">
        <v>14</v>
      </c>
      <c r="J859" t="s">
        <v>27</v>
      </c>
      <c r="K859" t="s">
        <v>16</v>
      </c>
      <c r="L859" t="s">
        <v>17</v>
      </c>
    </row>
    <row r="860" spans="1:12" x14ac:dyDescent="0.25">
      <c r="A860" t="s">
        <v>1741</v>
      </c>
      <c r="B860">
        <v>2</v>
      </c>
      <c r="C860" s="1">
        <v>44533</v>
      </c>
      <c r="D860" s="2">
        <v>0.48888888888888887</v>
      </c>
      <c r="E860" t="s">
        <v>1742</v>
      </c>
      <c r="F860" t="s">
        <v>31</v>
      </c>
      <c r="G860" t="s">
        <v>31</v>
      </c>
      <c r="H860" t="s">
        <v>31</v>
      </c>
      <c r="I860" t="s">
        <v>32</v>
      </c>
      <c r="J860" t="s">
        <v>27</v>
      </c>
      <c r="K860" t="s">
        <v>21</v>
      </c>
      <c r="L860" t="s">
        <v>33</v>
      </c>
    </row>
    <row r="861" spans="1:12" x14ac:dyDescent="0.25">
      <c r="A861" t="s">
        <v>1743</v>
      </c>
      <c r="B861">
        <v>1</v>
      </c>
      <c r="C861" s="1">
        <v>44533</v>
      </c>
      <c r="D861" s="2">
        <v>2.6388888888888889E-2</v>
      </c>
      <c r="E861" t="s">
        <v>1744</v>
      </c>
      <c r="F861" t="s">
        <v>31</v>
      </c>
      <c r="G861" t="s">
        <v>31</v>
      </c>
      <c r="H861" t="s">
        <v>31</v>
      </c>
      <c r="I861" t="s">
        <v>32</v>
      </c>
      <c r="J861" t="s">
        <v>27</v>
      </c>
      <c r="K861" t="s">
        <v>21</v>
      </c>
      <c r="L861" t="s">
        <v>33</v>
      </c>
    </row>
    <row r="862" spans="1:12" x14ac:dyDescent="0.25">
      <c r="A862" t="s">
        <v>1745</v>
      </c>
      <c r="B862">
        <v>1</v>
      </c>
      <c r="C862" s="1">
        <v>44532</v>
      </c>
      <c r="D862" s="2">
        <v>0.23541666666666669</v>
      </c>
      <c r="E862" t="s">
        <v>1746</v>
      </c>
      <c r="F862" t="s">
        <v>13</v>
      </c>
      <c r="G862" t="s">
        <v>13</v>
      </c>
      <c r="H862" t="s">
        <v>13</v>
      </c>
      <c r="I862" t="s">
        <v>14</v>
      </c>
      <c r="J862" t="s">
        <v>27</v>
      </c>
      <c r="K862" t="s">
        <v>21</v>
      </c>
      <c r="L862" t="s">
        <v>17</v>
      </c>
    </row>
    <row r="863" spans="1:12" x14ac:dyDescent="0.25">
      <c r="A863" t="s">
        <v>1747</v>
      </c>
      <c r="B863">
        <v>1</v>
      </c>
      <c r="C863" s="1">
        <v>44532</v>
      </c>
      <c r="D863" s="2">
        <v>0.18888888888888888</v>
      </c>
      <c r="E863" t="s">
        <v>1748</v>
      </c>
      <c r="F863" t="s">
        <v>31</v>
      </c>
      <c r="G863" t="s">
        <v>31</v>
      </c>
      <c r="H863" t="s">
        <v>31</v>
      </c>
      <c r="I863" t="s">
        <v>32</v>
      </c>
      <c r="J863" t="s">
        <v>27</v>
      </c>
      <c r="K863" t="s">
        <v>21</v>
      </c>
      <c r="L863" t="s">
        <v>33</v>
      </c>
    </row>
    <row r="864" spans="1:12" x14ac:dyDescent="0.25">
      <c r="A864" t="s">
        <v>1749</v>
      </c>
      <c r="B864">
        <v>2</v>
      </c>
      <c r="C864" s="1">
        <v>44532</v>
      </c>
      <c r="D864" s="2">
        <v>0.14097222222222222</v>
      </c>
      <c r="E864" t="s">
        <v>1750</v>
      </c>
      <c r="F864" t="s">
        <v>31</v>
      </c>
      <c r="G864" t="s">
        <v>31</v>
      </c>
      <c r="H864" t="s">
        <v>31</v>
      </c>
      <c r="I864" t="s">
        <v>32</v>
      </c>
      <c r="J864" t="s">
        <v>27</v>
      </c>
      <c r="K864" t="s">
        <v>21</v>
      </c>
      <c r="L864" t="s">
        <v>33</v>
      </c>
    </row>
    <row r="865" spans="1:12" x14ac:dyDescent="0.25">
      <c r="A865" t="s">
        <v>1751</v>
      </c>
      <c r="B865">
        <v>1</v>
      </c>
      <c r="C865" s="1">
        <v>44532</v>
      </c>
      <c r="D865" s="2">
        <v>0.12569444444444444</v>
      </c>
      <c r="E865" t="s">
        <v>1752</v>
      </c>
      <c r="F865" t="s">
        <v>13</v>
      </c>
      <c r="G865" t="s">
        <v>13</v>
      </c>
      <c r="H865" t="s">
        <v>13</v>
      </c>
      <c r="I865" t="s">
        <v>14</v>
      </c>
      <c r="J865" t="s">
        <v>27</v>
      </c>
      <c r="K865" t="s">
        <v>21</v>
      </c>
      <c r="L865" t="s">
        <v>17</v>
      </c>
    </row>
    <row r="866" spans="1:12" x14ac:dyDescent="0.25">
      <c r="A866" t="s">
        <v>1753</v>
      </c>
      <c r="B866">
        <v>1</v>
      </c>
      <c r="C866" s="1">
        <v>44532</v>
      </c>
      <c r="D866" s="2">
        <v>0.8027777777777777</v>
      </c>
      <c r="E866" t="s">
        <v>1754</v>
      </c>
      <c r="F866" t="s">
        <v>13</v>
      </c>
      <c r="G866" t="s">
        <v>13</v>
      </c>
      <c r="H866" t="s">
        <v>13</v>
      </c>
      <c r="I866" t="s">
        <v>14</v>
      </c>
      <c r="J866" t="s">
        <v>27</v>
      </c>
      <c r="K866" t="s">
        <v>28</v>
      </c>
      <c r="L866" t="s">
        <v>17</v>
      </c>
    </row>
    <row r="867" spans="1:12" x14ac:dyDescent="0.25">
      <c r="A867" t="s">
        <v>1755</v>
      </c>
      <c r="B867">
        <v>1</v>
      </c>
      <c r="C867" s="1">
        <v>44532</v>
      </c>
      <c r="D867" s="2">
        <v>0.73888888888888893</v>
      </c>
      <c r="E867" t="s">
        <v>1756</v>
      </c>
      <c r="F867" t="s">
        <v>13</v>
      </c>
      <c r="G867" t="s">
        <v>13</v>
      </c>
      <c r="H867" t="s">
        <v>13</v>
      </c>
      <c r="I867" t="s">
        <v>14</v>
      </c>
      <c r="J867" t="s">
        <v>27</v>
      </c>
      <c r="K867" t="s">
        <v>21</v>
      </c>
      <c r="L867" t="s">
        <v>17</v>
      </c>
    </row>
    <row r="868" spans="1:12" x14ac:dyDescent="0.25">
      <c r="A868" t="s">
        <v>1757</v>
      </c>
      <c r="B868">
        <v>1</v>
      </c>
      <c r="C868" s="1">
        <v>44532</v>
      </c>
      <c r="D868" s="2">
        <v>0.72569444444444453</v>
      </c>
      <c r="E868" t="s">
        <v>1758</v>
      </c>
      <c r="F868" t="s">
        <v>13</v>
      </c>
      <c r="G868" t="s">
        <v>13</v>
      </c>
      <c r="H868" t="s">
        <v>13</v>
      </c>
      <c r="I868" t="s">
        <v>14</v>
      </c>
      <c r="J868" t="s">
        <v>27</v>
      </c>
      <c r="K868" t="s">
        <v>21</v>
      </c>
      <c r="L868" t="s">
        <v>17</v>
      </c>
    </row>
    <row r="869" spans="1:12" x14ac:dyDescent="0.25">
      <c r="A869" t="s">
        <v>1759</v>
      </c>
      <c r="B869">
        <v>1</v>
      </c>
      <c r="C869" s="1">
        <v>44532</v>
      </c>
      <c r="D869" s="2">
        <v>0.63888888888888895</v>
      </c>
      <c r="E869" t="s">
        <v>1760</v>
      </c>
      <c r="F869" t="s">
        <v>13</v>
      </c>
      <c r="G869" t="s">
        <v>13</v>
      </c>
      <c r="H869" t="s">
        <v>13</v>
      </c>
      <c r="I869" t="s">
        <v>14</v>
      </c>
      <c r="J869" t="s">
        <v>27</v>
      </c>
      <c r="K869" t="s">
        <v>21</v>
      </c>
      <c r="L869" t="s">
        <v>17</v>
      </c>
    </row>
    <row r="870" spans="1:12" x14ac:dyDescent="0.25">
      <c r="A870" t="s">
        <v>1761</v>
      </c>
      <c r="B870">
        <v>1</v>
      </c>
      <c r="C870" s="1">
        <v>44532</v>
      </c>
      <c r="D870" s="2">
        <v>0.60763888888888895</v>
      </c>
      <c r="E870" t="s">
        <v>1762</v>
      </c>
      <c r="F870" t="s">
        <v>13</v>
      </c>
      <c r="G870" t="s">
        <v>13</v>
      </c>
      <c r="H870" t="s">
        <v>13</v>
      </c>
      <c r="I870" t="s">
        <v>14</v>
      </c>
      <c r="J870" t="s">
        <v>27</v>
      </c>
      <c r="K870" t="s">
        <v>28</v>
      </c>
      <c r="L870" t="s">
        <v>17</v>
      </c>
    </row>
    <row r="871" spans="1:12" x14ac:dyDescent="0.25">
      <c r="A871" t="s">
        <v>1763</v>
      </c>
      <c r="B871">
        <v>1</v>
      </c>
      <c r="C871" s="1">
        <v>44532</v>
      </c>
      <c r="D871" s="2">
        <v>0.5854166666666667</v>
      </c>
      <c r="E871" t="s">
        <v>1764</v>
      </c>
      <c r="F871" t="s">
        <v>13</v>
      </c>
      <c r="G871" t="s">
        <v>13</v>
      </c>
      <c r="H871" t="s">
        <v>13</v>
      </c>
      <c r="I871" t="s">
        <v>14</v>
      </c>
      <c r="J871" t="s">
        <v>27</v>
      </c>
      <c r="K871" t="s">
        <v>21</v>
      </c>
      <c r="L871" t="s">
        <v>17</v>
      </c>
    </row>
    <row r="872" spans="1:12" x14ac:dyDescent="0.25">
      <c r="A872" t="s">
        <v>1765</v>
      </c>
      <c r="B872">
        <v>1</v>
      </c>
      <c r="C872" s="1">
        <v>44532</v>
      </c>
      <c r="D872" s="2">
        <v>0.56388888888888888</v>
      </c>
      <c r="E872" t="s">
        <v>1766</v>
      </c>
      <c r="F872" t="s">
        <v>13</v>
      </c>
      <c r="G872" t="s">
        <v>13</v>
      </c>
      <c r="H872" t="s">
        <v>13</v>
      </c>
      <c r="I872" t="s">
        <v>14</v>
      </c>
      <c r="J872" t="s">
        <v>27</v>
      </c>
      <c r="K872" t="s">
        <v>21</v>
      </c>
      <c r="L872" t="s">
        <v>17</v>
      </c>
    </row>
    <row r="873" spans="1:12" x14ac:dyDescent="0.25">
      <c r="A873" t="s">
        <v>1767</v>
      </c>
      <c r="B873">
        <v>1</v>
      </c>
      <c r="C873" s="1">
        <v>44532</v>
      </c>
      <c r="D873" s="2">
        <v>0.54097222222222219</v>
      </c>
      <c r="E873" t="s">
        <v>1768</v>
      </c>
      <c r="F873" t="s">
        <v>13</v>
      </c>
      <c r="G873" t="s">
        <v>13</v>
      </c>
      <c r="H873" t="s">
        <v>13</v>
      </c>
      <c r="I873" t="s">
        <v>14</v>
      </c>
      <c r="J873" t="s">
        <v>27</v>
      </c>
      <c r="K873" t="s">
        <v>28</v>
      </c>
      <c r="L873" t="s">
        <v>17</v>
      </c>
    </row>
    <row r="874" spans="1:12" x14ac:dyDescent="0.25">
      <c r="A874" t="s">
        <v>1769</v>
      </c>
      <c r="B874">
        <v>1</v>
      </c>
      <c r="C874" s="1">
        <v>44532</v>
      </c>
      <c r="D874" s="2">
        <v>0.47083333333333338</v>
      </c>
      <c r="E874" t="s">
        <v>1770</v>
      </c>
      <c r="F874" t="s">
        <v>13</v>
      </c>
      <c r="G874" t="s">
        <v>13</v>
      </c>
      <c r="H874" t="s">
        <v>13</v>
      </c>
      <c r="I874" t="s">
        <v>14</v>
      </c>
      <c r="J874" t="s">
        <v>27</v>
      </c>
      <c r="K874" t="s">
        <v>21</v>
      </c>
      <c r="L874" t="s">
        <v>17</v>
      </c>
    </row>
    <row r="875" spans="1:12" x14ac:dyDescent="0.25">
      <c r="A875" t="s">
        <v>1771</v>
      </c>
      <c r="B875">
        <v>1</v>
      </c>
      <c r="C875" s="1">
        <v>44532</v>
      </c>
      <c r="D875" s="2">
        <v>0.46736111111111112</v>
      </c>
      <c r="E875" t="s">
        <v>1772</v>
      </c>
      <c r="F875" t="s">
        <v>31</v>
      </c>
      <c r="G875" t="s">
        <v>31</v>
      </c>
      <c r="H875" t="s">
        <v>31</v>
      </c>
      <c r="I875" t="s">
        <v>32</v>
      </c>
      <c r="J875" t="s">
        <v>27</v>
      </c>
      <c r="K875" t="s">
        <v>21</v>
      </c>
      <c r="L875" t="s">
        <v>33</v>
      </c>
    </row>
    <row r="876" spans="1:12" x14ac:dyDescent="0.25">
      <c r="A876" t="s">
        <v>1773</v>
      </c>
      <c r="B876">
        <v>1</v>
      </c>
      <c r="C876" s="1">
        <v>44531</v>
      </c>
      <c r="D876" s="2">
        <v>0.35000000000000003</v>
      </c>
      <c r="E876" t="s">
        <v>1774</v>
      </c>
      <c r="F876" t="s">
        <v>13</v>
      </c>
      <c r="G876" t="s">
        <v>13</v>
      </c>
      <c r="H876" t="s">
        <v>13</v>
      </c>
      <c r="I876" t="s">
        <v>14</v>
      </c>
      <c r="J876" t="s">
        <v>27</v>
      </c>
      <c r="K876" t="s">
        <v>21</v>
      </c>
      <c r="L876" t="s">
        <v>17</v>
      </c>
    </row>
    <row r="877" spans="1:12" x14ac:dyDescent="0.25">
      <c r="A877" t="s">
        <v>1775</v>
      </c>
      <c r="B877">
        <v>1</v>
      </c>
      <c r="C877" s="1">
        <v>44531</v>
      </c>
      <c r="D877" s="2">
        <v>0.3444444444444445</v>
      </c>
      <c r="E877" t="s">
        <v>1776</v>
      </c>
      <c r="F877" t="s">
        <v>13</v>
      </c>
      <c r="G877" t="s">
        <v>13</v>
      </c>
      <c r="H877" t="s">
        <v>13</v>
      </c>
      <c r="I877" t="s">
        <v>14</v>
      </c>
      <c r="J877" t="s">
        <v>27</v>
      </c>
      <c r="K877" t="s">
        <v>28</v>
      </c>
      <c r="L877" t="s">
        <v>17</v>
      </c>
    </row>
    <row r="878" spans="1:12" x14ac:dyDescent="0.25">
      <c r="A878" t="s">
        <v>1777</v>
      </c>
      <c r="B878">
        <v>4</v>
      </c>
      <c r="C878" s="1">
        <v>44531</v>
      </c>
      <c r="D878" s="2">
        <v>0.25625000000000003</v>
      </c>
      <c r="E878" t="s">
        <v>1778</v>
      </c>
      <c r="F878" t="s">
        <v>31</v>
      </c>
      <c r="G878" t="s">
        <v>31</v>
      </c>
      <c r="H878" t="s">
        <v>31</v>
      </c>
      <c r="I878" t="s">
        <v>32</v>
      </c>
      <c r="J878" t="s">
        <v>27</v>
      </c>
      <c r="K878" t="s">
        <v>21</v>
      </c>
      <c r="L878" t="s">
        <v>33</v>
      </c>
    </row>
    <row r="879" spans="1:12" x14ac:dyDescent="0.25">
      <c r="A879" t="s">
        <v>1779</v>
      </c>
      <c r="B879">
        <v>5</v>
      </c>
      <c r="C879" s="1">
        <v>44531</v>
      </c>
      <c r="D879" s="2">
        <v>0.25138888888888888</v>
      </c>
      <c r="E879" t="s">
        <v>1780</v>
      </c>
      <c r="F879" t="s">
        <v>36</v>
      </c>
      <c r="G879" t="s">
        <v>36</v>
      </c>
      <c r="H879" t="s">
        <v>36</v>
      </c>
      <c r="I879" t="s">
        <v>13</v>
      </c>
      <c r="J879" t="s">
        <v>27</v>
      </c>
      <c r="K879" t="s">
        <v>21</v>
      </c>
      <c r="L879" t="s">
        <v>17</v>
      </c>
    </row>
    <row r="880" spans="1:12" x14ac:dyDescent="0.25">
      <c r="A880" t="s">
        <v>1781</v>
      </c>
      <c r="B880">
        <v>1</v>
      </c>
      <c r="C880" s="1">
        <v>44531</v>
      </c>
      <c r="D880" s="2">
        <v>0.14166666666666666</v>
      </c>
      <c r="E880" t="s">
        <v>1782</v>
      </c>
      <c r="F880" t="s">
        <v>13</v>
      </c>
      <c r="G880" t="s">
        <v>13</v>
      </c>
      <c r="H880" t="s">
        <v>13</v>
      </c>
      <c r="I880" t="s">
        <v>14</v>
      </c>
      <c r="J880" t="s">
        <v>27</v>
      </c>
      <c r="K880" t="s">
        <v>21</v>
      </c>
      <c r="L880" t="s">
        <v>17</v>
      </c>
    </row>
    <row r="881" spans="1:12" x14ac:dyDescent="0.25">
      <c r="A881" t="s">
        <v>1783</v>
      </c>
      <c r="B881">
        <v>1</v>
      </c>
      <c r="C881" s="1">
        <v>44531</v>
      </c>
      <c r="D881" s="2">
        <v>0.1111111111111111</v>
      </c>
      <c r="E881" t="s">
        <v>1784</v>
      </c>
      <c r="F881" t="s">
        <v>13</v>
      </c>
      <c r="G881" t="s">
        <v>13</v>
      </c>
      <c r="H881" t="s">
        <v>13</v>
      </c>
      <c r="I881" t="s">
        <v>14</v>
      </c>
      <c r="J881" t="s">
        <v>27</v>
      </c>
      <c r="K881" t="s">
        <v>21</v>
      </c>
      <c r="L881" t="s">
        <v>17</v>
      </c>
    </row>
    <row r="882" spans="1:12" x14ac:dyDescent="0.25">
      <c r="A882" t="s">
        <v>1785</v>
      </c>
      <c r="B882">
        <v>1</v>
      </c>
      <c r="C882" s="1">
        <v>44531</v>
      </c>
      <c r="D882" s="2">
        <v>6.3888888888888884E-2</v>
      </c>
      <c r="E882" t="s">
        <v>1786</v>
      </c>
      <c r="F882" t="s">
        <v>31</v>
      </c>
      <c r="G882" t="s">
        <v>31</v>
      </c>
      <c r="H882" t="s">
        <v>31</v>
      </c>
      <c r="I882" t="s">
        <v>32</v>
      </c>
      <c r="J882" t="s">
        <v>27</v>
      </c>
      <c r="K882" t="s">
        <v>21</v>
      </c>
      <c r="L882" t="s">
        <v>33</v>
      </c>
    </row>
    <row r="883" spans="1:12" x14ac:dyDescent="0.25">
      <c r="A883" t="s">
        <v>1787</v>
      </c>
      <c r="B883">
        <v>1</v>
      </c>
      <c r="C883" s="1">
        <v>44531</v>
      </c>
      <c r="D883" s="2">
        <v>0.7909722222222223</v>
      </c>
      <c r="E883" t="s">
        <v>1788</v>
      </c>
      <c r="F883" t="s">
        <v>13</v>
      </c>
      <c r="G883" t="s">
        <v>13</v>
      </c>
      <c r="H883" t="s">
        <v>13</v>
      </c>
      <c r="I883" t="s">
        <v>14</v>
      </c>
      <c r="J883" t="s">
        <v>27</v>
      </c>
      <c r="K883" t="s">
        <v>21</v>
      </c>
      <c r="L883" t="s">
        <v>17</v>
      </c>
    </row>
    <row r="884" spans="1:12" x14ac:dyDescent="0.25">
      <c r="A884" t="s">
        <v>1789</v>
      </c>
      <c r="B884">
        <v>1</v>
      </c>
      <c r="C884" s="1">
        <v>44531</v>
      </c>
      <c r="D884" s="2">
        <v>0.70347222222222217</v>
      </c>
      <c r="E884" t="s">
        <v>1790</v>
      </c>
      <c r="F884" t="s">
        <v>13</v>
      </c>
      <c r="G884" t="s">
        <v>13</v>
      </c>
      <c r="H884" t="s">
        <v>13</v>
      </c>
      <c r="I884" t="s">
        <v>14</v>
      </c>
      <c r="J884" t="s">
        <v>27</v>
      </c>
      <c r="K884" t="s">
        <v>21</v>
      </c>
      <c r="L884" t="s">
        <v>17</v>
      </c>
    </row>
    <row r="885" spans="1:12" x14ac:dyDescent="0.25">
      <c r="A885" t="s">
        <v>1791</v>
      </c>
      <c r="B885">
        <v>2</v>
      </c>
      <c r="C885" s="1">
        <v>44531</v>
      </c>
      <c r="D885" s="2">
        <v>0.68819444444444444</v>
      </c>
      <c r="E885" t="s">
        <v>1792</v>
      </c>
      <c r="F885" t="s">
        <v>31</v>
      </c>
      <c r="G885" t="s">
        <v>31</v>
      </c>
      <c r="H885" t="s">
        <v>31</v>
      </c>
      <c r="I885" t="s">
        <v>32</v>
      </c>
      <c r="J885" t="s">
        <v>27</v>
      </c>
      <c r="K885" t="s">
        <v>21</v>
      </c>
      <c r="L885" t="s">
        <v>33</v>
      </c>
    </row>
    <row r="886" spans="1:12" x14ac:dyDescent="0.25">
      <c r="A886" t="s">
        <v>1793</v>
      </c>
      <c r="B886">
        <v>1</v>
      </c>
      <c r="C886" s="1">
        <v>44531</v>
      </c>
      <c r="D886" s="2">
        <v>0.68263888888888891</v>
      </c>
      <c r="E886" t="s">
        <v>1794</v>
      </c>
      <c r="F886" t="s">
        <v>13</v>
      </c>
      <c r="G886" t="s">
        <v>13</v>
      </c>
      <c r="H886" t="s">
        <v>13</v>
      </c>
      <c r="I886" t="s">
        <v>14</v>
      </c>
      <c r="J886" t="s">
        <v>27</v>
      </c>
      <c r="K886" t="s">
        <v>21</v>
      </c>
      <c r="L886" t="s">
        <v>17</v>
      </c>
    </row>
    <row r="887" spans="1:12" x14ac:dyDescent="0.25">
      <c r="A887" t="s">
        <v>1795</v>
      </c>
      <c r="B887">
        <v>3</v>
      </c>
      <c r="C887" s="1">
        <v>44531</v>
      </c>
      <c r="D887" s="2">
        <v>0.55625000000000002</v>
      </c>
      <c r="E887" t="s">
        <v>1796</v>
      </c>
      <c r="F887" t="s">
        <v>31</v>
      </c>
      <c r="G887" t="s">
        <v>31</v>
      </c>
      <c r="H887" t="s">
        <v>31</v>
      </c>
      <c r="I887" t="s">
        <v>32</v>
      </c>
      <c r="J887" t="s">
        <v>27</v>
      </c>
      <c r="K887" t="s">
        <v>21</v>
      </c>
      <c r="L887" t="s">
        <v>33</v>
      </c>
    </row>
    <row r="888" spans="1:12" x14ac:dyDescent="0.25">
      <c r="A888" t="s">
        <v>1797</v>
      </c>
      <c r="B888">
        <v>1</v>
      </c>
      <c r="C888" s="1">
        <v>44531</v>
      </c>
      <c r="D888" s="2">
        <v>0.4916666666666667</v>
      </c>
      <c r="E888" t="s">
        <v>1798</v>
      </c>
      <c r="F888" t="s">
        <v>13</v>
      </c>
      <c r="G888" t="s">
        <v>13</v>
      </c>
      <c r="H888" t="s">
        <v>13</v>
      </c>
      <c r="I888" t="s">
        <v>14</v>
      </c>
      <c r="J888" t="s">
        <v>27</v>
      </c>
      <c r="K888" t="s">
        <v>28</v>
      </c>
      <c r="L888" t="s">
        <v>17</v>
      </c>
    </row>
    <row r="889" spans="1:12" x14ac:dyDescent="0.25">
      <c r="A889" t="s">
        <v>1799</v>
      </c>
      <c r="B889">
        <v>1</v>
      </c>
      <c r="C889" s="1">
        <v>44531</v>
      </c>
      <c r="D889" s="2">
        <v>0.44861111111111113</v>
      </c>
      <c r="E889" t="s">
        <v>1800</v>
      </c>
      <c r="F889" t="s">
        <v>31</v>
      </c>
      <c r="G889" t="s">
        <v>31</v>
      </c>
      <c r="H889" t="s">
        <v>31</v>
      </c>
      <c r="I889" t="s">
        <v>32</v>
      </c>
      <c r="J889" t="s">
        <v>27</v>
      </c>
      <c r="K889" t="s">
        <v>21</v>
      </c>
      <c r="L889" t="s">
        <v>33</v>
      </c>
    </row>
    <row r="890" spans="1:12" x14ac:dyDescent="0.25">
      <c r="A890" t="s">
        <v>1801</v>
      </c>
      <c r="B890">
        <v>5</v>
      </c>
      <c r="C890" s="1">
        <v>44530</v>
      </c>
      <c r="D890" s="2">
        <v>0.22361111111111109</v>
      </c>
      <c r="E890" t="s">
        <v>1802</v>
      </c>
      <c r="F890" t="s">
        <v>31</v>
      </c>
      <c r="G890" t="s">
        <v>31</v>
      </c>
      <c r="H890" t="s">
        <v>31</v>
      </c>
      <c r="I890" t="s">
        <v>32</v>
      </c>
      <c r="J890" t="s">
        <v>27</v>
      </c>
      <c r="K890" t="s">
        <v>21</v>
      </c>
      <c r="L890" t="s">
        <v>33</v>
      </c>
    </row>
    <row r="891" spans="1:12" x14ac:dyDescent="0.25">
      <c r="A891" t="s">
        <v>1803</v>
      </c>
      <c r="B891">
        <v>1</v>
      </c>
      <c r="C891" s="1">
        <v>44530</v>
      </c>
      <c r="D891" s="2">
        <v>0.21736111111111112</v>
      </c>
      <c r="E891" t="s">
        <v>1804</v>
      </c>
      <c r="F891" t="s">
        <v>13</v>
      </c>
      <c r="G891" t="s">
        <v>13</v>
      </c>
      <c r="H891" t="s">
        <v>13</v>
      </c>
      <c r="I891" t="s">
        <v>14</v>
      </c>
      <c r="J891" t="s">
        <v>27</v>
      </c>
      <c r="K891" t="s">
        <v>21</v>
      </c>
      <c r="L891" t="s">
        <v>17</v>
      </c>
    </row>
    <row r="892" spans="1:12" x14ac:dyDescent="0.25">
      <c r="A892" t="s">
        <v>1805</v>
      </c>
      <c r="B892">
        <v>1</v>
      </c>
      <c r="C892" s="1">
        <v>44530</v>
      </c>
      <c r="D892" s="2">
        <v>0.81388888888888899</v>
      </c>
      <c r="E892" t="s">
        <v>1806</v>
      </c>
      <c r="F892" t="s">
        <v>31</v>
      </c>
      <c r="G892" t="s">
        <v>31</v>
      </c>
      <c r="H892" t="s">
        <v>31</v>
      </c>
      <c r="I892" t="s">
        <v>32</v>
      </c>
      <c r="J892" t="s">
        <v>27</v>
      </c>
      <c r="K892" t="s">
        <v>16</v>
      </c>
      <c r="L892" t="s">
        <v>33</v>
      </c>
    </row>
    <row r="893" spans="1:12" x14ac:dyDescent="0.25">
      <c r="A893" t="s">
        <v>1807</v>
      </c>
      <c r="B893">
        <v>5</v>
      </c>
      <c r="C893" s="1">
        <v>44530</v>
      </c>
      <c r="D893" s="2">
        <v>0.73055555555555562</v>
      </c>
      <c r="E893" t="s">
        <v>1808</v>
      </c>
      <c r="F893" t="s">
        <v>36</v>
      </c>
      <c r="G893" t="s">
        <v>36</v>
      </c>
      <c r="H893" t="s">
        <v>36</v>
      </c>
      <c r="I893" t="s">
        <v>13</v>
      </c>
      <c r="J893" t="s">
        <v>27</v>
      </c>
      <c r="K893" t="s">
        <v>28</v>
      </c>
      <c r="L893" t="s">
        <v>17</v>
      </c>
    </row>
    <row r="894" spans="1:12" x14ac:dyDescent="0.25">
      <c r="A894" t="s">
        <v>1809</v>
      </c>
      <c r="B894">
        <v>1</v>
      </c>
      <c r="C894" s="1">
        <v>44530</v>
      </c>
      <c r="D894" s="2">
        <v>0.72499999999999998</v>
      </c>
      <c r="E894" t="s">
        <v>1810</v>
      </c>
      <c r="F894" t="s">
        <v>13</v>
      </c>
      <c r="G894" t="s">
        <v>13</v>
      </c>
      <c r="H894" t="s">
        <v>13</v>
      </c>
      <c r="I894" t="s">
        <v>14</v>
      </c>
      <c r="J894" t="s">
        <v>27</v>
      </c>
      <c r="K894" t="s">
        <v>21</v>
      </c>
      <c r="L894" t="s">
        <v>17</v>
      </c>
    </row>
    <row r="895" spans="1:12" x14ac:dyDescent="0.25">
      <c r="A895" t="s">
        <v>1811</v>
      </c>
      <c r="B895">
        <v>1</v>
      </c>
      <c r="C895" s="1">
        <v>44530</v>
      </c>
      <c r="D895" s="2">
        <v>0.58402777777777781</v>
      </c>
      <c r="E895" t="s">
        <v>1812</v>
      </c>
      <c r="F895" t="s">
        <v>13</v>
      </c>
      <c r="G895" t="s">
        <v>13</v>
      </c>
      <c r="H895" t="s">
        <v>13</v>
      </c>
      <c r="I895" t="s">
        <v>14</v>
      </c>
      <c r="J895" t="s">
        <v>27</v>
      </c>
      <c r="K895" t="s">
        <v>21</v>
      </c>
      <c r="L895" t="s">
        <v>17</v>
      </c>
    </row>
    <row r="896" spans="1:12" x14ac:dyDescent="0.25">
      <c r="A896" t="s">
        <v>1813</v>
      </c>
      <c r="B896">
        <v>1</v>
      </c>
      <c r="C896" s="1">
        <v>44530</v>
      </c>
      <c r="D896" s="2">
        <v>0.51111111111111118</v>
      </c>
      <c r="E896" t="s">
        <v>1814</v>
      </c>
      <c r="F896" t="s">
        <v>13</v>
      </c>
      <c r="G896" t="s">
        <v>13</v>
      </c>
      <c r="H896" t="s">
        <v>13</v>
      </c>
      <c r="I896" t="s">
        <v>14</v>
      </c>
      <c r="J896" t="s">
        <v>27</v>
      </c>
      <c r="K896" t="s">
        <v>21</v>
      </c>
      <c r="L896" t="s">
        <v>17</v>
      </c>
    </row>
    <row r="897" spans="1:12" x14ac:dyDescent="0.25">
      <c r="A897" t="s">
        <v>1815</v>
      </c>
      <c r="B897">
        <v>2</v>
      </c>
      <c r="C897" s="1">
        <v>44530</v>
      </c>
      <c r="D897" s="2">
        <v>0.50486111111111109</v>
      </c>
      <c r="E897" t="s">
        <v>1816</v>
      </c>
      <c r="F897" t="s">
        <v>31</v>
      </c>
      <c r="G897" t="s">
        <v>31</v>
      </c>
      <c r="H897" t="s">
        <v>31</v>
      </c>
      <c r="I897" t="s">
        <v>32</v>
      </c>
      <c r="J897" t="s">
        <v>27</v>
      </c>
      <c r="K897" t="s">
        <v>28</v>
      </c>
      <c r="L897" t="s">
        <v>33</v>
      </c>
    </row>
    <row r="898" spans="1:12" x14ac:dyDescent="0.25">
      <c r="A898" t="s">
        <v>1817</v>
      </c>
      <c r="B898">
        <v>5</v>
      </c>
      <c r="C898" s="1">
        <v>44529</v>
      </c>
      <c r="D898" s="2">
        <v>0.36527777777777781</v>
      </c>
      <c r="E898" t="s">
        <v>1818</v>
      </c>
      <c r="F898" t="s">
        <v>36</v>
      </c>
      <c r="G898" t="s">
        <v>36</v>
      </c>
      <c r="H898" t="s">
        <v>36</v>
      </c>
      <c r="I898" t="s">
        <v>13</v>
      </c>
      <c r="J898" t="s">
        <v>27</v>
      </c>
      <c r="K898" t="s">
        <v>21</v>
      </c>
      <c r="L898" t="s">
        <v>17</v>
      </c>
    </row>
    <row r="899" spans="1:12" x14ac:dyDescent="0.25">
      <c r="A899" t="s">
        <v>1819</v>
      </c>
      <c r="B899">
        <v>1</v>
      </c>
      <c r="C899" s="1">
        <v>44529</v>
      </c>
      <c r="D899" s="2">
        <v>0.21527777777777779</v>
      </c>
      <c r="E899" t="s">
        <v>1820</v>
      </c>
      <c r="F899" t="s">
        <v>13</v>
      </c>
      <c r="G899" t="s">
        <v>13</v>
      </c>
      <c r="H899" t="s">
        <v>13</v>
      </c>
      <c r="I899" t="s">
        <v>14</v>
      </c>
      <c r="J899" t="s">
        <v>27</v>
      </c>
      <c r="K899" t="s">
        <v>21</v>
      </c>
      <c r="L899" t="s">
        <v>17</v>
      </c>
    </row>
    <row r="900" spans="1:12" x14ac:dyDescent="0.25">
      <c r="A900" t="s">
        <v>1821</v>
      </c>
      <c r="B900">
        <v>4</v>
      </c>
      <c r="C900" s="1">
        <v>44529</v>
      </c>
      <c r="D900" s="2">
        <v>0.81736111111111109</v>
      </c>
      <c r="E900" t="s">
        <v>1822</v>
      </c>
      <c r="F900" t="s">
        <v>31</v>
      </c>
      <c r="G900" t="s">
        <v>31</v>
      </c>
      <c r="H900" t="s">
        <v>31</v>
      </c>
      <c r="I900" t="s">
        <v>32</v>
      </c>
      <c r="J900" t="s">
        <v>27</v>
      </c>
      <c r="K900" t="s">
        <v>16</v>
      </c>
      <c r="L900" t="s">
        <v>33</v>
      </c>
    </row>
    <row r="901" spans="1:12" x14ac:dyDescent="0.25">
      <c r="A901" t="s">
        <v>1823</v>
      </c>
      <c r="B901">
        <v>4</v>
      </c>
      <c r="C901" s="1">
        <v>44529</v>
      </c>
      <c r="D901" s="2">
        <v>0.70347222222222217</v>
      </c>
      <c r="E901" t="s">
        <v>1824</v>
      </c>
      <c r="F901" t="s">
        <v>13</v>
      </c>
      <c r="G901" t="s">
        <v>13</v>
      </c>
      <c r="H901" t="s">
        <v>13</v>
      </c>
      <c r="I901" t="s">
        <v>14</v>
      </c>
      <c r="J901" t="s">
        <v>27</v>
      </c>
      <c r="K901" t="s">
        <v>21</v>
      </c>
      <c r="L901" t="s">
        <v>17</v>
      </c>
    </row>
    <row r="902" spans="1:12" x14ac:dyDescent="0.25">
      <c r="A902" t="s">
        <v>1825</v>
      </c>
      <c r="B902">
        <v>2</v>
      </c>
      <c r="C902" s="1">
        <v>44529</v>
      </c>
      <c r="D902" s="2">
        <v>0.62916666666666665</v>
      </c>
      <c r="E902" t="s">
        <v>1826</v>
      </c>
      <c r="F902" t="s">
        <v>13</v>
      </c>
      <c r="G902" t="s">
        <v>13</v>
      </c>
      <c r="H902" t="s">
        <v>13</v>
      </c>
      <c r="I902" t="s">
        <v>14</v>
      </c>
      <c r="J902" t="s">
        <v>27</v>
      </c>
      <c r="K902" t="s">
        <v>21</v>
      </c>
      <c r="L902" t="s">
        <v>17</v>
      </c>
    </row>
    <row r="903" spans="1:12" x14ac:dyDescent="0.25">
      <c r="A903" t="s">
        <v>1827</v>
      </c>
      <c r="B903">
        <v>1</v>
      </c>
      <c r="C903" s="1">
        <v>44529</v>
      </c>
      <c r="D903" s="2">
        <v>0.50694444444444442</v>
      </c>
      <c r="E903" t="s">
        <v>1828</v>
      </c>
      <c r="F903" t="s">
        <v>13</v>
      </c>
      <c r="G903" t="s">
        <v>13</v>
      </c>
      <c r="H903" t="s">
        <v>13</v>
      </c>
      <c r="I903" t="s">
        <v>14</v>
      </c>
      <c r="J903" t="s">
        <v>27</v>
      </c>
      <c r="K903" t="s">
        <v>28</v>
      </c>
      <c r="L903" t="s">
        <v>17</v>
      </c>
    </row>
    <row r="904" spans="1:12" x14ac:dyDescent="0.25">
      <c r="A904" t="s">
        <v>1829</v>
      </c>
      <c r="B904">
        <v>1</v>
      </c>
      <c r="C904" s="1">
        <v>44529</v>
      </c>
      <c r="D904" s="2">
        <v>0.47638888888888892</v>
      </c>
      <c r="E904" t="s">
        <v>1830</v>
      </c>
      <c r="F904" t="s">
        <v>31</v>
      </c>
      <c r="G904" t="s">
        <v>31</v>
      </c>
      <c r="H904" t="s">
        <v>31</v>
      </c>
      <c r="I904" t="s">
        <v>32</v>
      </c>
      <c r="J904" t="s">
        <v>27</v>
      </c>
      <c r="K904" t="s">
        <v>21</v>
      </c>
      <c r="L904" t="s">
        <v>33</v>
      </c>
    </row>
    <row r="905" spans="1:12" x14ac:dyDescent="0.25">
      <c r="A905" t="s">
        <v>1831</v>
      </c>
      <c r="B905">
        <v>1</v>
      </c>
      <c r="C905" s="1">
        <v>44529</v>
      </c>
      <c r="D905" s="2">
        <v>0.42291666666666666</v>
      </c>
      <c r="E905" t="s">
        <v>1832</v>
      </c>
      <c r="F905" t="s">
        <v>13</v>
      </c>
      <c r="G905" t="s">
        <v>13</v>
      </c>
      <c r="H905" t="s">
        <v>13</v>
      </c>
      <c r="I905" t="s">
        <v>14</v>
      </c>
      <c r="J905" t="s">
        <v>27</v>
      </c>
      <c r="K905" t="s">
        <v>28</v>
      </c>
      <c r="L905" t="s">
        <v>17</v>
      </c>
    </row>
    <row r="906" spans="1:12" x14ac:dyDescent="0.25">
      <c r="A906" t="s">
        <v>1833</v>
      </c>
      <c r="B906">
        <v>1</v>
      </c>
      <c r="C906" s="1">
        <v>44528</v>
      </c>
      <c r="D906" s="2">
        <v>0.3347222222222222</v>
      </c>
      <c r="E906" t="s">
        <v>1834</v>
      </c>
      <c r="F906" t="s">
        <v>13</v>
      </c>
      <c r="G906" t="s">
        <v>13</v>
      </c>
      <c r="H906" t="s">
        <v>13</v>
      </c>
      <c r="I906" t="s">
        <v>14</v>
      </c>
      <c r="J906" t="s">
        <v>27</v>
      </c>
      <c r="K906" t="s">
        <v>21</v>
      </c>
      <c r="L906" t="s">
        <v>17</v>
      </c>
    </row>
    <row r="907" spans="1:12" x14ac:dyDescent="0.25">
      <c r="A907" t="s">
        <v>1835</v>
      </c>
      <c r="B907">
        <v>1</v>
      </c>
      <c r="C907" s="1">
        <v>44528</v>
      </c>
      <c r="D907" s="2">
        <v>0.32708333333333334</v>
      </c>
      <c r="E907" t="s">
        <v>1836</v>
      </c>
      <c r="F907" t="s">
        <v>13</v>
      </c>
      <c r="G907" t="s">
        <v>13</v>
      </c>
      <c r="H907" t="s">
        <v>13</v>
      </c>
      <c r="I907" t="s">
        <v>14</v>
      </c>
      <c r="J907" t="s">
        <v>27</v>
      </c>
      <c r="K907" t="s">
        <v>16</v>
      </c>
      <c r="L907" t="s">
        <v>17</v>
      </c>
    </row>
    <row r="908" spans="1:12" x14ac:dyDescent="0.25">
      <c r="A908" t="s">
        <v>1837</v>
      </c>
      <c r="B908">
        <v>4</v>
      </c>
      <c r="C908" s="1">
        <v>44528</v>
      </c>
      <c r="D908" s="2">
        <v>0.26458333333333334</v>
      </c>
      <c r="E908" t="s">
        <v>1838</v>
      </c>
      <c r="F908" t="s">
        <v>36</v>
      </c>
      <c r="G908" t="s">
        <v>36</v>
      </c>
      <c r="H908" t="s">
        <v>36</v>
      </c>
      <c r="I908" t="s">
        <v>13</v>
      </c>
      <c r="J908" t="s">
        <v>27</v>
      </c>
      <c r="K908" t="s">
        <v>21</v>
      </c>
      <c r="L908" t="s">
        <v>17</v>
      </c>
    </row>
    <row r="909" spans="1:12" x14ac:dyDescent="0.25">
      <c r="A909" t="s">
        <v>1839</v>
      </c>
      <c r="B909">
        <v>2</v>
      </c>
      <c r="C909" s="1">
        <v>44528</v>
      </c>
      <c r="D909" s="2">
        <v>0.20486111111111113</v>
      </c>
      <c r="E909" t="s">
        <v>1840</v>
      </c>
      <c r="F909" t="s">
        <v>31</v>
      </c>
      <c r="G909" t="s">
        <v>31</v>
      </c>
      <c r="H909" t="s">
        <v>31</v>
      </c>
      <c r="I909" t="s">
        <v>32</v>
      </c>
      <c r="J909" t="s">
        <v>27</v>
      </c>
      <c r="K909" t="s">
        <v>21</v>
      </c>
      <c r="L909" t="s">
        <v>33</v>
      </c>
    </row>
    <row r="910" spans="1:12" x14ac:dyDescent="0.25">
      <c r="A910" t="s">
        <v>1841</v>
      </c>
      <c r="B910">
        <v>2</v>
      </c>
      <c r="C910" s="1">
        <v>44528</v>
      </c>
      <c r="D910" s="2">
        <v>0.20208333333333331</v>
      </c>
      <c r="E910" t="s">
        <v>1842</v>
      </c>
      <c r="F910" t="s">
        <v>13</v>
      </c>
      <c r="G910" t="s">
        <v>13</v>
      </c>
      <c r="H910" t="s">
        <v>13</v>
      </c>
      <c r="I910" t="s">
        <v>14</v>
      </c>
      <c r="J910" t="s">
        <v>27</v>
      </c>
      <c r="K910" t="s">
        <v>21</v>
      </c>
      <c r="L910" t="s">
        <v>17</v>
      </c>
    </row>
    <row r="911" spans="1:12" x14ac:dyDescent="0.25">
      <c r="A911" t="s">
        <v>1843</v>
      </c>
      <c r="B911">
        <v>4</v>
      </c>
      <c r="C911" s="1">
        <v>44528</v>
      </c>
      <c r="D911" s="2">
        <v>0.16874999999999998</v>
      </c>
      <c r="E911" t="s">
        <v>1844</v>
      </c>
      <c r="F911" t="s">
        <v>13</v>
      </c>
      <c r="G911" t="s">
        <v>13</v>
      </c>
      <c r="H911" t="s">
        <v>13</v>
      </c>
      <c r="I911" t="s">
        <v>14</v>
      </c>
      <c r="J911" t="s">
        <v>27</v>
      </c>
      <c r="K911" t="s">
        <v>21</v>
      </c>
      <c r="L911" t="s">
        <v>17</v>
      </c>
    </row>
    <row r="912" spans="1:12" x14ac:dyDescent="0.25">
      <c r="A912" t="s">
        <v>1845</v>
      </c>
      <c r="B912">
        <v>5</v>
      </c>
      <c r="C912" s="1">
        <v>44528</v>
      </c>
      <c r="D912" s="2">
        <v>0.15138888888888888</v>
      </c>
      <c r="E912" t="s">
        <v>1846</v>
      </c>
      <c r="F912" t="s">
        <v>36</v>
      </c>
      <c r="G912" t="s">
        <v>36</v>
      </c>
      <c r="H912" t="s">
        <v>36</v>
      </c>
      <c r="I912" t="s">
        <v>13</v>
      </c>
      <c r="J912" t="s">
        <v>27</v>
      </c>
      <c r="K912" t="s">
        <v>28</v>
      </c>
      <c r="L912" t="s">
        <v>17</v>
      </c>
    </row>
    <row r="913" spans="1:12" x14ac:dyDescent="0.25">
      <c r="A913" t="s">
        <v>1847</v>
      </c>
      <c r="B913">
        <v>5</v>
      </c>
      <c r="C913" s="1">
        <v>44528</v>
      </c>
      <c r="D913" s="2">
        <v>8.4027777777777771E-2</v>
      </c>
      <c r="E913" t="s">
        <v>1848</v>
      </c>
      <c r="F913" t="s">
        <v>36</v>
      </c>
      <c r="G913" t="s">
        <v>36</v>
      </c>
      <c r="H913" t="s">
        <v>36</v>
      </c>
      <c r="I913" t="s">
        <v>13</v>
      </c>
      <c r="J913" t="s">
        <v>27</v>
      </c>
      <c r="K913" t="s">
        <v>21</v>
      </c>
      <c r="L913" t="s">
        <v>17</v>
      </c>
    </row>
    <row r="914" spans="1:12" x14ac:dyDescent="0.25">
      <c r="A914" t="s">
        <v>1849</v>
      </c>
      <c r="B914">
        <v>3</v>
      </c>
      <c r="C914" s="1">
        <v>44528</v>
      </c>
      <c r="D914" s="2">
        <v>0.92986111111111114</v>
      </c>
      <c r="E914" t="s">
        <v>1850</v>
      </c>
      <c r="F914" t="s">
        <v>31</v>
      </c>
      <c r="G914" t="s">
        <v>31</v>
      </c>
      <c r="H914" t="s">
        <v>31</v>
      </c>
      <c r="I914" t="s">
        <v>32</v>
      </c>
      <c r="J914" t="s">
        <v>27</v>
      </c>
      <c r="K914" t="s">
        <v>28</v>
      </c>
      <c r="L914" t="s">
        <v>33</v>
      </c>
    </row>
    <row r="915" spans="1:12" x14ac:dyDescent="0.25">
      <c r="A915" t="s">
        <v>1851</v>
      </c>
      <c r="B915">
        <v>1</v>
      </c>
      <c r="C915" s="1">
        <v>44528</v>
      </c>
      <c r="D915" s="2">
        <v>0.57500000000000007</v>
      </c>
      <c r="E915" t="s">
        <v>1852</v>
      </c>
      <c r="F915" t="s">
        <v>13</v>
      </c>
      <c r="G915" t="s">
        <v>13</v>
      </c>
      <c r="H915" t="s">
        <v>13</v>
      </c>
      <c r="I915" t="s">
        <v>14</v>
      </c>
      <c r="J915" t="s">
        <v>27</v>
      </c>
      <c r="K915" t="s">
        <v>21</v>
      </c>
      <c r="L915" t="s">
        <v>17</v>
      </c>
    </row>
    <row r="916" spans="1:12" x14ac:dyDescent="0.25">
      <c r="A916" t="s">
        <v>1853</v>
      </c>
      <c r="B916">
        <v>1</v>
      </c>
      <c r="C916" s="1">
        <v>44528</v>
      </c>
      <c r="D916" s="2">
        <v>0.5493055555555556</v>
      </c>
      <c r="E916" t="s">
        <v>1854</v>
      </c>
      <c r="F916" t="s">
        <v>13</v>
      </c>
      <c r="G916" t="s">
        <v>13</v>
      </c>
      <c r="H916" t="s">
        <v>13</v>
      </c>
      <c r="I916" t="s">
        <v>14</v>
      </c>
      <c r="J916" t="s">
        <v>27</v>
      </c>
      <c r="K916" t="s">
        <v>16</v>
      </c>
      <c r="L916" t="s">
        <v>17</v>
      </c>
    </row>
    <row r="917" spans="1:12" x14ac:dyDescent="0.25">
      <c r="A917" t="s">
        <v>1855</v>
      </c>
      <c r="B917">
        <v>1</v>
      </c>
      <c r="C917" s="1">
        <v>44527</v>
      </c>
      <c r="D917" s="2">
        <v>0.3923611111111111</v>
      </c>
      <c r="E917" t="s">
        <v>1856</v>
      </c>
      <c r="F917" t="s">
        <v>13</v>
      </c>
      <c r="G917" t="s">
        <v>13</v>
      </c>
      <c r="H917" t="s">
        <v>13</v>
      </c>
      <c r="I917" t="s">
        <v>14</v>
      </c>
      <c r="J917" t="s">
        <v>27</v>
      </c>
      <c r="K917" t="s">
        <v>28</v>
      </c>
      <c r="L917" t="s">
        <v>17</v>
      </c>
    </row>
    <row r="918" spans="1:12" x14ac:dyDescent="0.25">
      <c r="A918" t="s">
        <v>1857</v>
      </c>
      <c r="B918">
        <v>2</v>
      </c>
      <c r="C918" s="1">
        <v>44527</v>
      </c>
      <c r="D918" s="2">
        <v>0.32013888888888892</v>
      </c>
      <c r="E918" t="s">
        <v>1858</v>
      </c>
      <c r="F918" t="s">
        <v>13</v>
      </c>
      <c r="G918" t="s">
        <v>13</v>
      </c>
      <c r="H918" t="s">
        <v>13</v>
      </c>
      <c r="I918" t="s">
        <v>14</v>
      </c>
      <c r="J918" t="s">
        <v>27</v>
      </c>
      <c r="K918" t="s">
        <v>28</v>
      </c>
      <c r="L918" t="s">
        <v>17</v>
      </c>
    </row>
    <row r="919" spans="1:12" x14ac:dyDescent="0.25">
      <c r="A919" t="s">
        <v>1859</v>
      </c>
      <c r="B919">
        <v>5</v>
      </c>
      <c r="C919" s="1">
        <v>44527</v>
      </c>
      <c r="D919" s="2">
        <v>0.22847222222222222</v>
      </c>
      <c r="E919" t="s">
        <v>1860</v>
      </c>
      <c r="F919" t="s">
        <v>31</v>
      </c>
      <c r="G919" t="s">
        <v>31</v>
      </c>
      <c r="H919" t="s">
        <v>31</v>
      </c>
      <c r="I919" t="s">
        <v>32</v>
      </c>
      <c r="J919" t="s">
        <v>27</v>
      </c>
      <c r="K919" t="s">
        <v>21</v>
      </c>
      <c r="L919" t="s">
        <v>33</v>
      </c>
    </row>
    <row r="920" spans="1:12" x14ac:dyDescent="0.25">
      <c r="A920" t="s">
        <v>1861</v>
      </c>
      <c r="B920">
        <v>1</v>
      </c>
      <c r="C920" s="1">
        <v>44527</v>
      </c>
      <c r="D920" s="2">
        <v>0.69305555555555554</v>
      </c>
      <c r="E920" t="s">
        <v>1862</v>
      </c>
      <c r="F920" t="s">
        <v>31</v>
      </c>
      <c r="G920" t="s">
        <v>31</v>
      </c>
      <c r="H920" t="s">
        <v>31</v>
      </c>
      <c r="I920" t="s">
        <v>32</v>
      </c>
      <c r="J920" t="s">
        <v>27</v>
      </c>
      <c r="K920" t="s">
        <v>21</v>
      </c>
      <c r="L920" t="s">
        <v>33</v>
      </c>
    </row>
    <row r="921" spans="1:12" x14ac:dyDescent="0.25">
      <c r="A921" t="s">
        <v>1863</v>
      </c>
      <c r="B921">
        <v>1</v>
      </c>
      <c r="C921" s="1">
        <v>44527</v>
      </c>
      <c r="D921" s="2">
        <v>0.57500000000000007</v>
      </c>
      <c r="E921" t="s">
        <v>1864</v>
      </c>
      <c r="F921" t="s">
        <v>13</v>
      </c>
      <c r="G921" t="s">
        <v>13</v>
      </c>
      <c r="H921" t="s">
        <v>13</v>
      </c>
      <c r="I921" t="s">
        <v>14</v>
      </c>
      <c r="J921" t="s">
        <v>27</v>
      </c>
      <c r="K921" t="s">
        <v>21</v>
      </c>
      <c r="L921" t="s">
        <v>17</v>
      </c>
    </row>
    <row r="922" spans="1:12" x14ac:dyDescent="0.25">
      <c r="A922" t="s">
        <v>1865</v>
      </c>
      <c r="B922">
        <v>4</v>
      </c>
      <c r="C922" s="1">
        <v>44526</v>
      </c>
      <c r="D922" s="2">
        <v>0.16874999999999998</v>
      </c>
      <c r="E922" t="s">
        <v>1866</v>
      </c>
      <c r="F922" t="s">
        <v>13</v>
      </c>
      <c r="G922" t="s">
        <v>13</v>
      </c>
      <c r="H922" t="s">
        <v>13</v>
      </c>
      <c r="I922" t="s">
        <v>14</v>
      </c>
      <c r="J922" t="s">
        <v>27</v>
      </c>
      <c r="K922" t="s">
        <v>28</v>
      </c>
      <c r="L922" t="s">
        <v>17</v>
      </c>
    </row>
    <row r="923" spans="1:12" x14ac:dyDescent="0.25">
      <c r="A923" t="s">
        <v>1867</v>
      </c>
      <c r="B923">
        <v>1</v>
      </c>
      <c r="C923" s="1">
        <v>44526</v>
      </c>
      <c r="D923" s="2">
        <v>0.84444444444444444</v>
      </c>
      <c r="E923" t="s">
        <v>1868</v>
      </c>
      <c r="F923" t="s">
        <v>31</v>
      </c>
      <c r="G923" t="s">
        <v>31</v>
      </c>
      <c r="H923" t="s">
        <v>31</v>
      </c>
      <c r="I923" t="s">
        <v>32</v>
      </c>
      <c r="J923" t="s">
        <v>27</v>
      </c>
      <c r="K923" t="s">
        <v>21</v>
      </c>
      <c r="L923" t="s">
        <v>33</v>
      </c>
    </row>
    <row r="924" spans="1:12" x14ac:dyDescent="0.25">
      <c r="A924" t="s">
        <v>1869</v>
      </c>
      <c r="B924">
        <v>2</v>
      </c>
      <c r="C924" s="1">
        <v>44526</v>
      </c>
      <c r="D924" s="2">
        <v>0.58958333333333335</v>
      </c>
      <c r="E924" t="s">
        <v>1870</v>
      </c>
      <c r="F924" t="s">
        <v>13</v>
      </c>
      <c r="G924" t="s">
        <v>13</v>
      </c>
      <c r="H924" t="s">
        <v>13</v>
      </c>
      <c r="I924" t="s">
        <v>14</v>
      </c>
      <c r="J924" t="s">
        <v>27</v>
      </c>
      <c r="K924" t="s">
        <v>21</v>
      </c>
      <c r="L924" t="s">
        <v>17</v>
      </c>
    </row>
    <row r="925" spans="1:12" x14ac:dyDescent="0.25">
      <c r="A925" t="s">
        <v>1871</v>
      </c>
      <c r="B925">
        <v>1</v>
      </c>
      <c r="C925" s="1">
        <v>44526</v>
      </c>
      <c r="D925" s="2">
        <v>0.58611111111111114</v>
      </c>
      <c r="E925" t="s">
        <v>1872</v>
      </c>
      <c r="F925" t="s">
        <v>13</v>
      </c>
      <c r="G925" t="s">
        <v>13</v>
      </c>
      <c r="H925" t="s">
        <v>13</v>
      </c>
      <c r="I925" t="s">
        <v>14</v>
      </c>
      <c r="J925" t="s">
        <v>27</v>
      </c>
      <c r="K925" t="s">
        <v>21</v>
      </c>
      <c r="L925" t="s">
        <v>17</v>
      </c>
    </row>
    <row r="926" spans="1:12" x14ac:dyDescent="0.25">
      <c r="A926" t="s">
        <v>1873</v>
      </c>
      <c r="B926">
        <v>1</v>
      </c>
      <c r="C926" s="1">
        <v>44526</v>
      </c>
      <c r="D926" s="2">
        <v>0.50763888888888886</v>
      </c>
      <c r="E926" t="s">
        <v>1874</v>
      </c>
      <c r="F926" t="s">
        <v>31</v>
      </c>
      <c r="G926" t="s">
        <v>31</v>
      </c>
      <c r="H926" t="s">
        <v>31</v>
      </c>
      <c r="I926" t="s">
        <v>32</v>
      </c>
      <c r="J926" t="s">
        <v>27</v>
      </c>
      <c r="K926" t="s">
        <v>28</v>
      </c>
      <c r="L926" t="s">
        <v>33</v>
      </c>
    </row>
    <row r="927" spans="1:12" x14ac:dyDescent="0.25">
      <c r="A927" t="s">
        <v>1875</v>
      </c>
      <c r="B927">
        <v>1</v>
      </c>
      <c r="C927" s="1">
        <v>44526</v>
      </c>
      <c r="D927" s="2">
        <v>0.42083333333333334</v>
      </c>
      <c r="E927" t="s">
        <v>1876</v>
      </c>
      <c r="F927" t="s">
        <v>31</v>
      </c>
      <c r="G927" t="s">
        <v>31</v>
      </c>
      <c r="H927" t="s">
        <v>31</v>
      </c>
      <c r="I927" t="s">
        <v>32</v>
      </c>
      <c r="J927" t="s">
        <v>27</v>
      </c>
      <c r="K927" t="s">
        <v>21</v>
      </c>
      <c r="L927" t="s">
        <v>33</v>
      </c>
    </row>
    <row r="928" spans="1:12" x14ac:dyDescent="0.25">
      <c r="A928" t="s">
        <v>1877</v>
      </c>
      <c r="B928">
        <v>1</v>
      </c>
      <c r="C928" s="1">
        <v>44526</v>
      </c>
      <c r="D928" s="2">
        <v>0.41666666666666669</v>
      </c>
      <c r="E928" t="s">
        <v>1878</v>
      </c>
      <c r="F928" t="s">
        <v>13</v>
      </c>
      <c r="G928" t="s">
        <v>13</v>
      </c>
      <c r="H928" t="s">
        <v>13</v>
      </c>
      <c r="I928" t="s">
        <v>14</v>
      </c>
      <c r="J928" t="s">
        <v>27</v>
      </c>
      <c r="K928" t="s">
        <v>21</v>
      </c>
      <c r="L928" t="s">
        <v>17</v>
      </c>
    </row>
    <row r="929" spans="1:12" x14ac:dyDescent="0.25">
      <c r="A929" t="s">
        <v>1879</v>
      </c>
      <c r="B929">
        <v>1</v>
      </c>
      <c r="C929" s="1">
        <v>44525</v>
      </c>
      <c r="D929" s="2">
        <v>0.41250000000000003</v>
      </c>
      <c r="E929" t="s">
        <v>1880</v>
      </c>
      <c r="F929" t="s">
        <v>13</v>
      </c>
      <c r="G929" t="s">
        <v>13</v>
      </c>
      <c r="H929" t="s">
        <v>13</v>
      </c>
      <c r="I929" t="s">
        <v>14</v>
      </c>
      <c r="J929" t="s">
        <v>27</v>
      </c>
      <c r="K929" t="s">
        <v>21</v>
      </c>
      <c r="L929" t="s">
        <v>17</v>
      </c>
    </row>
    <row r="930" spans="1:12" x14ac:dyDescent="0.25">
      <c r="A930" t="s">
        <v>1881</v>
      </c>
      <c r="B930">
        <v>5</v>
      </c>
      <c r="C930" s="1">
        <v>44525</v>
      </c>
      <c r="D930" s="2">
        <v>0.35416666666666669</v>
      </c>
      <c r="E930" t="s">
        <v>1882</v>
      </c>
      <c r="F930" t="s">
        <v>36</v>
      </c>
      <c r="G930" t="s">
        <v>36</v>
      </c>
      <c r="H930" t="s">
        <v>36</v>
      </c>
      <c r="I930" t="s">
        <v>13</v>
      </c>
      <c r="J930" t="s">
        <v>27</v>
      </c>
      <c r="K930" t="s">
        <v>21</v>
      </c>
      <c r="L930" t="s">
        <v>17</v>
      </c>
    </row>
    <row r="931" spans="1:12" x14ac:dyDescent="0.25">
      <c r="A931" t="s">
        <v>1883</v>
      </c>
      <c r="B931">
        <v>1</v>
      </c>
      <c r="C931" s="1">
        <v>44525</v>
      </c>
      <c r="D931" s="2">
        <v>0.21319444444444444</v>
      </c>
      <c r="E931" t="s">
        <v>1884</v>
      </c>
      <c r="F931" t="s">
        <v>13</v>
      </c>
      <c r="G931" t="s">
        <v>13</v>
      </c>
      <c r="H931" t="s">
        <v>13</v>
      </c>
      <c r="I931" t="s">
        <v>14</v>
      </c>
      <c r="J931" t="s">
        <v>27</v>
      </c>
      <c r="K931" t="s">
        <v>21</v>
      </c>
      <c r="L931" t="s">
        <v>17</v>
      </c>
    </row>
    <row r="932" spans="1:12" x14ac:dyDescent="0.25">
      <c r="A932" t="s">
        <v>1885</v>
      </c>
      <c r="B932">
        <v>1</v>
      </c>
      <c r="C932" s="1">
        <v>44525</v>
      </c>
      <c r="D932" s="2">
        <v>0.99652777777777779</v>
      </c>
      <c r="E932" t="s">
        <v>1886</v>
      </c>
      <c r="F932" t="s">
        <v>31</v>
      </c>
      <c r="G932" t="s">
        <v>31</v>
      </c>
      <c r="H932" t="s">
        <v>31</v>
      </c>
      <c r="I932" t="s">
        <v>32</v>
      </c>
      <c r="J932" t="s">
        <v>27</v>
      </c>
      <c r="K932" t="s">
        <v>21</v>
      </c>
      <c r="L932" t="s">
        <v>33</v>
      </c>
    </row>
    <row r="933" spans="1:12" x14ac:dyDescent="0.25">
      <c r="A933" t="s">
        <v>1887</v>
      </c>
      <c r="B933">
        <v>4</v>
      </c>
      <c r="C933" s="1">
        <v>44525</v>
      </c>
      <c r="D933" s="2">
        <v>0.92291666666666661</v>
      </c>
      <c r="E933" t="s">
        <v>1888</v>
      </c>
      <c r="F933" t="s">
        <v>36</v>
      </c>
      <c r="G933" t="s">
        <v>36</v>
      </c>
      <c r="H933" t="s">
        <v>36</v>
      </c>
      <c r="I933" t="s">
        <v>13</v>
      </c>
      <c r="J933" t="s">
        <v>27</v>
      </c>
      <c r="K933" t="s">
        <v>21</v>
      </c>
      <c r="L933" t="s">
        <v>17</v>
      </c>
    </row>
    <row r="934" spans="1:12" x14ac:dyDescent="0.25">
      <c r="A934" t="s">
        <v>1889</v>
      </c>
      <c r="B934">
        <v>1</v>
      </c>
      <c r="C934" s="1">
        <v>44525</v>
      </c>
      <c r="D934" s="2">
        <v>0.71597222222222223</v>
      </c>
      <c r="E934" t="s">
        <v>1890</v>
      </c>
      <c r="F934" t="s">
        <v>13</v>
      </c>
      <c r="G934" t="s">
        <v>13</v>
      </c>
      <c r="H934" t="s">
        <v>13</v>
      </c>
      <c r="I934" t="s">
        <v>14</v>
      </c>
      <c r="J934" t="s">
        <v>27</v>
      </c>
      <c r="K934" t="s">
        <v>16</v>
      </c>
      <c r="L934" t="s">
        <v>17</v>
      </c>
    </row>
    <row r="935" spans="1:12" x14ac:dyDescent="0.25">
      <c r="A935" t="s">
        <v>1891</v>
      </c>
      <c r="B935">
        <v>1</v>
      </c>
      <c r="C935" s="1">
        <v>44525</v>
      </c>
      <c r="D935" s="2">
        <v>0.71250000000000002</v>
      </c>
      <c r="E935" t="s">
        <v>1892</v>
      </c>
      <c r="F935" t="s">
        <v>13</v>
      </c>
      <c r="G935" t="s">
        <v>13</v>
      </c>
      <c r="H935" t="s">
        <v>13</v>
      </c>
      <c r="I935" t="s">
        <v>14</v>
      </c>
      <c r="J935" t="s">
        <v>27</v>
      </c>
      <c r="K935" t="s">
        <v>21</v>
      </c>
      <c r="L935" t="s">
        <v>17</v>
      </c>
    </row>
    <row r="936" spans="1:12" x14ac:dyDescent="0.25">
      <c r="A936" t="s">
        <v>1893</v>
      </c>
      <c r="B936">
        <v>1</v>
      </c>
      <c r="C936" s="1">
        <v>44525</v>
      </c>
      <c r="D936" s="2">
        <v>0.70694444444444438</v>
      </c>
      <c r="E936" t="s">
        <v>1894</v>
      </c>
      <c r="F936" t="s">
        <v>31</v>
      </c>
      <c r="G936" t="s">
        <v>31</v>
      </c>
      <c r="H936" t="s">
        <v>31</v>
      </c>
      <c r="I936" t="s">
        <v>32</v>
      </c>
      <c r="J936" t="s">
        <v>27</v>
      </c>
      <c r="K936" t="s">
        <v>21</v>
      </c>
      <c r="L936" t="s">
        <v>33</v>
      </c>
    </row>
    <row r="937" spans="1:12" x14ac:dyDescent="0.25">
      <c r="A937" t="s">
        <v>1895</v>
      </c>
      <c r="B937">
        <v>1</v>
      </c>
      <c r="C937" s="1">
        <v>44525</v>
      </c>
      <c r="D937" s="2">
        <v>0.66388888888888886</v>
      </c>
      <c r="E937" t="s">
        <v>1896</v>
      </c>
      <c r="F937" t="s">
        <v>13</v>
      </c>
      <c r="G937" t="s">
        <v>13</v>
      </c>
      <c r="H937" t="s">
        <v>13</v>
      </c>
      <c r="I937" t="s">
        <v>14</v>
      </c>
      <c r="J937" t="s">
        <v>27</v>
      </c>
      <c r="K937" t="s">
        <v>21</v>
      </c>
      <c r="L937" t="s">
        <v>17</v>
      </c>
    </row>
    <row r="938" spans="1:12" x14ac:dyDescent="0.25">
      <c r="A938" t="s">
        <v>1897</v>
      </c>
      <c r="B938">
        <v>1</v>
      </c>
      <c r="C938" s="1">
        <v>44525</v>
      </c>
      <c r="D938" s="2">
        <v>0.66180555555555554</v>
      </c>
      <c r="E938" t="s">
        <v>1898</v>
      </c>
      <c r="F938" t="s">
        <v>13</v>
      </c>
      <c r="G938" t="s">
        <v>13</v>
      </c>
      <c r="H938" t="s">
        <v>13</v>
      </c>
      <c r="I938" t="s">
        <v>14</v>
      </c>
      <c r="J938" t="s">
        <v>27</v>
      </c>
      <c r="K938" t="s">
        <v>21</v>
      </c>
      <c r="L938" t="s">
        <v>17</v>
      </c>
    </row>
    <row r="939" spans="1:12" x14ac:dyDescent="0.25">
      <c r="A939" t="s">
        <v>1899</v>
      </c>
      <c r="B939">
        <v>1</v>
      </c>
      <c r="C939" s="1">
        <v>44525</v>
      </c>
      <c r="D939" s="2">
        <v>0.65763888888888888</v>
      </c>
      <c r="E939" t="s">
        <v>1900</v>
      </c>
      <c r="F939" t="s">
        <v>31</v>
      </c>
      <c r="G939" t="s">
        <v>31</v>
      </c>
      <c r="H939" t="s">
        <v>31</v>
      </c>
      <c r="I939" t="s">
        <v>32</v>
      </c>
      <c r="J939" t="s">
        <v>27</v>
      </c>
      <c r="K939" t="s">
        <v>21</v>
      </c>
      <c r="L939" t="s">
        <v>33</v>
      </c>
    </row>
    <row r="940" spans="1:12" x14ac:dyDescent="0.25">
      <c r="A940" t="s">
        <v>1901</v>
      </c>
      <c r="B940">
        <v>1</v>
      </c>
      <c r="C940" s="1">
        <v>44525</v>
      </c>
      <c r="D940" s="2">
        <v>0.63680555555555551</v>
      </c>
      <c r="E940" t="s">
        <v>1902</v>
      </c>
      <c r="F940" t="s">
        <v>13</v>
      </c>
      <c r="G940" t="s">
        <v>13</v>
      </c>
      <c r="H940" t="s">
        <v>13</v>
      </c>
      <c r="I940" t="s">
        <v>14</v>
      </c>
      <c r="J940" t="s">
        <v>27</v>
      </c>
      <c r="K940" t="s">
        <v>21</v>
      </c>
      <c r="L940" t="s">
        <v>17</v>
      </c>
    </row>
    <row r="941" spans="1:12" x14ac:dyDescent="0.25">
      <c r="A941" t="s">
        <v>1903</v>
      </c>
      <c r="B941">
        <v>3</v>
      </c>
      <c r="C941" s="1">
        <v>44525</v>
      </c>
      <c r="D941" s="2">
        <v>0.48680555555555555</v>
      </c>
      <c r="E941" t="s">
        <v>1904</v>
      </c>
      <c r="F941" t="s">
        <v>13</v>
      </c>
      <c r="G941" t="s">
        <v>13</v>
      </c>
      <c r="H941" t="s">
        <v>13</v>
      </c>
      <c r="I941" t="s">
        <v>14</v>
      </c>
      <c r="J941" t="s">
        <v>27</v>
      </c>
      <c r="K941" t="s">
        <v>21</v>
      </c>
      <c r="L941" t="s">
        <v>17</v>
      </c>
    </row>
    <row r="942" spans="1:12" x14ac:dyDescent="0.25">
      <c r="A942" t="s">
        <v>1905</v>
      </c>
      <c r="B942">
        <v>1</v>
      </c>
      <c r="C942" s="1">
        <v>44525</v>
      </c>
      <c r="D942" s="2">
        <v>0.42222222222222222</v>
      </c>
      <c r="E942" t="s">
        <v>1906</v>
      </c>
      <c r="F942" t="s">
        <v>13</v>
      </c>
      <c r="G942" t="s">
        <v>13</v>
      </c>
      <c r="H942" t="s">
        <v>13</v>
      </c>
      <c r="I942" t="s">
        <v>14</v>
      </c>
      <c r="J942" t="s">
        <v>27</v>
      </c>
      <c r="K942" t="s">
        <v>28</v>
      </c>
      <c r="L942" t="s">
        <v>17</v>
      </c>
    </row>
    <row r="943" spans="1:12" x14ac:dyDescent="0.25">
      <c r="A943" t="s">
        <v>1907</v>
      </c>
      <c r="B943">
        <v>3</v>
      </c>
      <c r="C943" s="1">
        <v>44524</v>
      </c>
      <c r="D943" s="2">
        <v>0.23472222222222219</v>
      </c>
      <c r="E943" t="s">
        <v>1908</v>
      </c>
      <c r="F943" t="s">
        <v>31</v>
      </c>
      <c r="G943" t="s">
        <v>31</v>
      </c>
      <c r="H943" t="s">
        <v>31</v>
      </c>
      <c r="I943" t="s">
        <v>32</v>
      </c>
      <c r="J943" t="s">
        <v>27</v>
      </c>
      <c r="K943" t="s">
        <v>21</v>
      </c>
      <c r="L943" t="s">
        <v>33</v>
      </c>
    </row>
    <row r="944" spans="1:12" x14ac:dyDescent="0.25">
      <c r="A944" t="s">
        <v>1909</v>
      </c>
      <c r="B944">
        <v>5</v>
      </c>
      <c r="C944" s="1">
        <v>44524</v>
      </c>
      <c r="D944" s="2">
        <v>0.7715277777777777</v>
      </c>
      <c r="E944" t="s">
        <v>1910</v>
      </c>
      <c r="F944" t="s">
        <v>31</v>
      </c>
      <c r="G944" t="s">
        <v>31</v>
      </c>
      <c r="H944" t="s">
        <v>31</v>
      </c>
      <c r="I944" t="s">
        <v>32</v>
      </c>
      <c r="J944" t="s">
        <v>27</v>
      </c>
      <c r="K944" t="s">
        <v>21</v>
      </c>
      <c r="L944" t="s">
        <v>33</v>
      </c>
    </row>
    <row r="945" spans="1:12" x14ac:dyDescent="0.25">
      <c r="A945" t="s">
        <v>1911</v>
      </c>
      <c r="B945">
        <v>3</v>
      </c>
      <c r="C945" s="1">
        <v>44524</v>
      </c>
      <c r="D945" s="2">
        <v>0.63194444444444442</v>
      </c>
      <c r="E945" t="s">
        <v>1912</v>
      </c>
      <c r="F945" t="s">
        <v>13</v>
      </c>
      <c r="G945" t="s">
        <v>13</v>
      </c>
      <c r="H945" t="s">
        <v>13</v>
      </c>
      <c r="I945" t="s">
        <v>14</v>
      </c>
      <c r="J945" t="s">
        <v>27</v>
      </c>
      <c r="K945" t="s">
        <v>16</v>
      </c>
      <c r="L945" t="s">
        <v>17</v>
      </c>
    </row>
    <row r="946" spans="1:12" x14ac:dyDescent="0.25">
      <c r="A946" t="s">
        <v>1913</v>
      </c>
      <c r="B946">
        <v>2</v>
      </c>
      <c r="C946" s="1">
        <v>44524</v>
      </c>
      <c r="D946" s="2">
        <v>0.61249999999999993</v>
      </c>
      <c r="E946" t="s">
        <v>1914</v>
      </c>
      <c r="F946" t="s">
        <v>31</v>
      </c>
      <c r="G946" t="s">
        <v>31</v>
      </c>
      <c r="H946" t="s">
        <v>31</v>
      </c>
      <c r="I946" t="s">
        <v>32</v>
      </c>
      <c r="J946" t="s">
        <v>27</v>
      </c>
      <c r="K946" t="s">
        <v>21</v>
      </c>
      <c r="L946" t="s">
        <v>33</v>
      </c>
    </row>
    <row r="947" spans="1:12" x14ac:dyDescent="0.25">
      <c r="A947" t="s">
        <v>1915</v>
      </c>
      <c r="B947">
        <v>4</v>
      </c>
      <c r="C947" s="1">
        <v>44524</v>
      </c>
      <c r="D947" s="2">
        <v>0.60555555555555551</v>
      </c>
      <c r="E947" t="s">
        <v>1916</v>
      </c>
      <c r="F947" t="s">
        <v>13</v>
      </c>
      <c r="G947" t="s">
        <v>13</v>
      </c>
      <c r="H947" t="s">
        <v>13</v>
      </c>
      <c r="I947" t="s">
        <v>14</v>
      </c>
      <c r="J947" t="s">
        <v>27</v>
      </c>
      <c r="K947" t="s">
        <v>21</v>
      </c>
      <c r="L947" t="s">
        <v>17</v>
      </c>
    </row>
    <row r="948" spans="1:12" x14ac:dyDescent="0.25">
      <c r="A948" t="s">
        <v>1917</v>
      </c>
      <c r="B948">
        <v>3</v>
      </c>
      <c r="C948" s="1">
        <v>44524</v>
      </c>
      <c r="D948" s="2">
        <v>0.58333333333333337</v>
      </c>
      <c r="E948" t="s">
        <v>1918</v>
      </c>
      <c r="F948" t="s">
        <v>13</v>
      </c>
      <c r="G948" t="s">
        <v>13</v>
      </c>
      <c r="H948" t="s">
        <v>13</v>
      </c>
      <c r="I948" t="s">
        <v>14</v>
      </c>
      <c r="J948" t="s">
        <v>27</v>
      </c>
      <c r="K948" t="s">
        <v>21</v>
      </c>
      <c r="L948" t="s">
        <v>17</v>
      </c>
    </row>
    <row r="949" spans="1:12" x14ac:dyDescent="0.25">
      <c r="A949" t="s">
        <v>1919</v>
      </c>
      <c r="B949">
        <v>1</v>
      </c>
      <c r="C949" s="1">
        <v>44524</v>
      </c>
      <c r="D949" s="2">
        <v>0.57916666666666672</v>
      </c>
      <c r="E949" t="s">
        <v>1920</v>
      </c>
      <c r="F949" t="s">
        <v>13</v>
      </c>
      <c r="G949" t="s">
        <v>13</v>
      </c>
      <c r="H949" t="s">
        <v>13</v>
      </c>
      <c r="I949" t="s">
        <v>14</v>
      </c>
      <c r="J949" t="s">
        <v>27</v>
      </c>
      <c r="K949" t="s">
        <v>21</v>
      </c>
      <c r="L949" t="s">
        <v>17</v>
      </c>
    </row>
    <row r="950" spans="1:12" x14ac:dyDescent="0.25">
      <c r="A950" t="s">
        <v>1921</v>
      </c>
      <c r="B950">
        <v>1</v>
      </c>
      <c r="C950" s="1">
        <v>44524</v>
      </c>
      <c r="D950" s="2">
        <v>0.5444444444444444</v>
      </c>
      <c r="E950" t="s">
        <v>1922</v>
      </c>
      <c r="F950" t="s">
        <v>13</v>
      </c>
      <c r="G950" t="s">
        <v>13</v>
      </c>
      <c r="H950" t="s">
        <v>13</v>
      </c>
      <c r="I950" t="s">
        <v>14</v>
      </c>
      <c r="J950" t="s">
        <v>27</v>
      </c>
      <c r="K950" t="s">
        <v>21</v>
      </c>
      <c r="L950" t="s">
        <v>17</v>
      </c>
    </row>
    <row r="951" spans="1:12" x14ac:dyDescent="0.25">
      <c r="A951" t="s">
        <v>1923</v>
      </c>
      <c r="B951">
        <v>1</v>
      </c>
      <c r="C951" s="1">
        <v>44524</v>
      </c>
      <c r="D951" s="2">
        <v>0.42986111111111108</v>
      </c>
      <c r="E951" t="s">
        <v>1924</v>
      </c>
      <c r="F951" t="s">
        <v>13</v>
      </c>
      <c r="G951" t="s">
        <v>13</v>
      </c>
      <c r="H951" t="s">
        <v>13</v>
      </c>
      <c r="I951" t="s">
        <v>14</v>
      </c>
      <c r="J951" t="s">
        <v>27</v>
      </c>
      <c r="K951" t="s">
        <v>21</v>
      </c>
      <c r="L951" t="s">
        <v>17</v>
      </c>
    </row>
    <row r="952" spans="1:12" x14ac:dyDescent="0.25">
      <c r="A952" t="s">
        <v>1925</v>
      </c>
      <c r="B952">
        <v>4</v>
      </c>
      <c r="C952" s="1">
        <v>44523</v>
      </c>
      <c r="D952" s="2">
        <v>0.67083333333333339</v>
      </c>
      <c r="E952" t="s">
        <v>1926</v>
      </c>
      <c r="F952" t="s">
        <v>36</v>
      </c>
      <c r="G952" t="s">
        <v>36</v>
      </c>
      <c r="H952" t="s">
        <v>36</v>
      </c>
      <c r="I952" t="s">
        <v>13</v>
      </c>
      <c r="J952" t="s">
        <v>27</v>
      </c>
      <c r="K952" t="s">
        <v>21</v>
      </c>
      <c r="L952" t="s">
        <v>17</v>
      </c>
    </row>
    <row r="953" spans="1:12" x14ac:dyDescent="0.25">
      <c r="A953" t="s">
        <v>1927</v>
      </c>
      <c r="B953">
        <v>3</v>
      </c>
      <c r="C953" s="1">
        <v>44523</v>
      </c>
      <c r="D953" s="2">
        <v>0.52430555555555558</v>
      </c>
      <c r="E953" t="s">
        <v>1928</v>
      </c>
      <c r="F953" t="s">
        <v>31</v>
      </c>
      <c r="G953" t="s">
        <v>31</v>
      </c>
      <c r="H953" t="s">
        <v>31</v>
      </c>
      <c r="I953" t="s">
        <v>32</v>
      </c>
      <c r="J953" t="s">
        <v>27</v>
      </c>
      <c r="K953" t="s">
        <v>21</v>
      </c>
      <c r="L953" t="s">
        <v>33</v>
      </c>
    </row>
    <row r="954" spans="1:12" x14ac:dyDescent="0.25">
      <c r="A954" t="s">
        <v>1929</v>
      </c>
      <c r="B954">
        <v>5</v>
      </c>
      <c r="C954" s="1">
        <v>44523</v>
      </c>
      <c r="D954" s="2">
        <v>4.027777777777778E-2</v>
      </c>
      <c r="E954" t="s">
        <v>1930</v>
      </c>
      <c r="F954" t="s">
        <v>36</v>
      </c>
      <c r="G954" t="s">
        <v>36</v>
      </c>
      <c r="H954" t="s">
        <v>36</v>
      </c>
      <c r="I954" t="s">
        <v>13</v>
      </c>
      <c r="J954" t="s">
        <v>27</v>
      </c>
      <c r="K954" t="s">
        <v>21</v>
      </c>
      <c r="L954" t="s">
        <v>17</v>
      </c>
    </row>
    <row r="955" spans="1:12" x14ac:dyDescent="0.25">
      <c r="A955" t="s">
        <v>1931</v>
      </c>
      <c r="B955">
        <v>1</v>
      </c>
      <c r="C955" s="1">
        <v>44522</v>
      </c>
      <c r="D955" s="2">
        <v>0.33680555555555558</v>
      </c>
      <c r="E955" t="s">
        <v>1932</v>
      </c>
      <c r="F955" t="s">
        <v>31</v>
      </c>
      <c r="G955" t="s">
        <v>31</v>
      </c>
      <c r="H955" t="s">
        <v>31</v>
      </c>
      <c r="I955" t="s">
        <v>32</v>
      </c>
      <c r="J955" t="s">
        <v>27</v>
      </c>
      <c r="K955" t="s">
        <v>16</v>
      </c>
      <c r="L955" t="s">
        <v>33</v>
      </c>
    </row>
    <row r="956" spans="1:12" x14ac:dyDescent="0.25">
      <c r="A956" t="s">
        <v>1933</v>
      </c>
      <c r="B956">
        <v>4</v>
      </c>
      <c r="C956" s="1">
        <v>44522</v>
      </c>
      <c r="D956" s="2">
        <v>0.26111111111111113</v>
      </c>
      <c r="E956" t="s">
        <v>1934</v>
      </c>
      <c r="F956" t="s">
        <v>13</v>
      </c>
      <c r="G956" t="s">
        <v>13</v>
      </c>
      <c r="H956" t="s">
        <v>13</v>
      </c>
      <c r="I956" t="s">
        <v>14</v>
      </c>
      <c r="J956" t="s">
        <v>27</v>
      </c>
      <c r="K956" t="s">
        <v>21</v>
      </c>
      <c r="L956" t="s">
        <v>17</v>
      </c>
    </row>
    <row r="957" spans="1:12" x14ac:dyDescent="0.25">
      <c r="A957" t="s">
        <v>1935</v>
      </c>
      <c r="B957">
        <v>1</v>
      </c>
      <c r="C957" s="1">
        <v>44522</v>
      </c>
      <c r="D957" s="2">
        <v>0.15069444444444444</v>
      </c>
      <c r="E957" t="s">
        <v>1936</v>
      </c>
      <c r="F957" t="s">
        <v>13</v>
      </c>
      <c r="G957" t="s">
        <v>13</v>
      </c>
      <c r="H957" t="s">
        <v>13</v>
      </c>
      <c r="I957" t="s">
        <v>14</v>
      </c>
      <c r="J957" t="s">
        <v>27</v>
      </c>
      <c r="K957" t="s">
        <v>28</v>
      </c>
      <c r="L957" t="s">
        <v>17</v>
      </c>
    </row>
    <row r="958" spans="1:12" x14ac:dyDescent="0.25">
      <c r="A958" t="s">
        <v>1937</v>
      </c>
      <c r="B958">
        <v>2</v>
      </c>
      <c r="C958" s="1">
        <v>44522</v>
      </c>
      <c r="D958" s="2">
        <v>0.70972222222222225</v>
      </c>
      <c r="E958" t="s">
        <v>1938</v>
      </c>
      <c r="F958" t="s">
        <v>13</v>
      </c>
      <c r="G958" t="s">
        <v>13</v>
      </c>
      <c r="H958" t="s">
        <v>13</v>
      </c>
      <c r="I958" t="s">
        <v>14</v>
      </c>
      <c r="J958" t="s">
        <v>27</v>
      </c>
      <c r="K958" t="s">
        <v>16</v>
      </c>
      <c r="L958" t="s">
        <v>17</v>
      </c>
    </row>
    <row r="959" spans="1:12" x14ac:dyDescent="0.25">
      <c r="A959" t="s">
        <v>1939</v>
      </c>
      <c r="B959">
        <v>5</v>
      </c>
      <c r="C959" s="1">
        <v>44522</v>
      </c>
      <c r="D959" s="2">
        <v>0.62569444444444444</v>
      </c>
      <c r="E959" t="s">
        <v>1940</v>
      </c>
      <c r="F959" t="s">
        <v>36</v>
      </c>
      <c r="G959" t="s">
        <v>36</v>
      </c>
      <c r="H959" t="s">
        <v>36</v>
      </c>
      <c r="I959" t="s">
        <v>13</v>
      </c>
      <c r="J959" t="s">
        <v>27</v>
      </c>
      <c r="K959" t="s">
        <v>21</v>
      </c>
      <c r="L959" t="s">
        <v>17</v>
      </c>
    </row>
    <row r="960" spans="1:12" x14ac:dyDescent="0.25">
      <c r="A960" t="s">
        <v>1941</v>
      </c>
      <c r="B960">
        <v>3</v>
      </c>
      <c r="C960" s="1">
        <v>44522</v>
      </c>
      <c r="D960" s="2">
        <v>0.60555555555555551</v>
      </c>
      <c r="E960" t="s">
        <v>1942</v>
      </c>
      <c r="F960" t="s">
        <v>31</v>
      </c>
      <c r="G960" t="s">
        <v>31</v>
      </c>
      <c r="H960" t="s">
        <v>31</v>
      </c>
      <c r="I960" t="s">
        <v>32</v>
      </c>
      <c r="J960" t="s">
        <v>27</v>
      </c>
      <c r="K960" t="s">
        <v>21</v>
      </c>
      <c r="L960" t="s">
        <v>33</v>
      </c>
    </row>
    <row r="961" spans="1:12" x14ac:dyDescent="0.25">
      <c r="A961" t="s">
        <v>1789</v>
      </c>
      <c r="B961">
        <v>4</v>
      </c>
      <c r="C961" s="1">
        <v>44522</v>
      </c>
      <c r="D961" s="2">
        <v>0.6020833333333333</v>
      </c>
      <c r="E961" t="s">
        <v>1943</v>
      </c>
      <c r="F961" t="s">
        <v>36</v>
      </c>
      <c r="G961" t="s">
        <v>36</v>
      </c>
      <c r="H961" t="s">
        <v>36</v>
      </c>
      <c r="I961" t="s">
        <v>13</v>
      </c>
      <c r="J961" t="s">
        <v>27</v>
      </c>
      <c r="K961" t="s">
        <v>21</v>
      </c>
      <c r="L961" t="s">
        <v>17</v>
      </c>
    </row>
    <row r="962" spans="1:12" x14ac:dyDescent="0.25">
      <c r="A962" t="s">
        <v>1944</v>
      </c>
      <c r="B962">
        <v>1</v>
      </c>
      <c r="C962" s="1">
        <v>44522</v>
      </c>
      <c r="D962" s="2">
        <v>4.027777777777778E-2</v>
      </c>
      <c r="E962" t="s">
        <v>1945</v>
      </c>
      <c r="F962" t="s">
        <v>13</v>
      </c>
      <c r="G962" t="s">
        <v>13</v>
      </c>
      <c r="H962" t="s">
        <v>13</v>
      </c>
      <c r="I962" t="s">
        <v>14</v>
      </c>
      <c r="J962" t="s">
        <v>27</v>
      </c>
      <c r="K962" t="s">
        <v>21</v>
      </c>
      <c r="L962" t="s">
        <v>17</v>
      </c>
    </row>
    <row r="963" spans="1:12" x14ac:dyDescent="0.25">
      <c r="A963" t="s">
        <v>1946</v>
      </c>
      <c r="B963">
        <v>1</v>
      </c>
      <c r="C963" s="1">
        <v>44522</v>
      </c>
      <c r="D963" s="2">
        <v>2.0833333333333332E-2</v>
      </c>
      <c r="E963" t="s">
        <v>1947</v>
      </c>
      <c r="F963" t="s">
        <v>31</v>
      </c>
      <c r="G963" t="s">
        <v>31</v>
      </c>
      <c r="H963" t="s">
        <v>31</v>
      </c>
      <c r="I963" t="s">
        <v>32</v>
      </c>
      <c r="J963" t="s">
        <v>27</v>
      </c>
      <c r="K963" t="s">
        <v>21</v>
      </c>
      <c r="L963" t="s">
        <v>33</v>
      </c>
    </row>
    <row r="964" spans="1:12" x14ac:dyDescent="0.25">
      <c r="A964" t="s">
        <v>1948</v>
      </c>
      <c r="B964">
        <v>1</v>
      </c>
      <c r="C964" s="1">
        <v>44521</v>
      </c>
      <c r="D964" s="2">
        <v>0.12430555555555556</v>
      </c>
      <c r="E964" t="s">
        <v>1949</v>
      </c>
      <c r="F964" t="s">
        <v>13</v>
      </c>
      <c r="G964" t="s">
        <v>13</v>
      </c>
      <c r="H964" t="s">
        <v>13</v>
      </c>
      <c r="I964" t="s">
        <v>14</v>
      </c>
      <c r="J964" t="s">
        <v>27</v>
      </c>
      <c r="K964" t="s">
        <v>21</v>
      </c>
      <c r="L964" t="s">
        <v>17</v>
      </c>
    </row>
    <row r="965" spans="1:12" x14ac:dyDescent="0.25">
      <c r="A965" t="s">
        <v>1950</v>
      </c>
      <c r="B965">
        <v>5</v>
      </c>
      <c r="C965" s="1">
        <v>44521</v>
      </c>
      <c r="D965" s="2">
        <v>9.930555555555555E-2</v>
      </c>
      <c r="E965" t="s">
        <v>1951</v>
      </c>
      <c r="F965" t="s">
        <v>36</v>
      </c>
      <c r="G965" t="s">
        <v>36</v>
      </c>
      <c r="H965" t="s">
        <v>36</v>
      </c>
      <c r="I965" t="s">
        <v>13</v>
      </c>
      <c r="J965" t="s">
        <v>27</v>
      </c>
      <c r="K965" t="s">
        <v>28</v>
      </c>
      <c r="L965" t="s">
        <v>17</v>
      </c>
    </row>
    <row r="966" spans="1:12" x14ac:dyDescent="0.25">
      <c r="A966" t="s">
        <v>1952</v>
      </c>
      <c r="B966">
        <v>1</v>
      </c>
      <c r="C966" s="1">
        <v>44521</v>
      </c>
      <c r="D966" s="2">
        <v>7.7083333333333337E-2</v>
      </c>
      <c r="E966" t="s">
        <v>1953</v>
      </c>
      <c r="F966" t="s">
        <v>31</v>
      </c>
      <c r="G966" t="s">
        <v>31</v>
      </c>
      <c r="H966" t="s">
        <v>31</v>
      </c>
      <c r="I966" t="s">
        <v>32</v>
      </c>
      <c r="J966" t="s">
        <v>27</v>
      </c>
      <c r="K966" t="s">
        <v>21</v>
      </c>
      <c r="L966" t="s">
        <v>33</v>
      </c>
    </row>
    <row r="967" spans="1:12" x14ac:dyDescent="0.25">
      <c r="A967" t="s">
        <v>1954</v>
      </c>
      <c r="B967">
        <v>2</v>
      </c>
      <c r="C967" s="1">
        <v>44521</v>
      </c>
      <c r="D967" s="2">
        <v>0.64444444444444449</v>
      </c>
      <c r="E967" t="s">
        <v>1955</v>
      </c>
      <c r="F967" t="s">
        <v>13</v>
      </c>
      <c r="G967" t="s">
        <v>13</v>
      </c>
      <c r="H967" t="s">
        <v>13</v>
      </c>
      <c r="I967" t="s">
        <v>14</v>
      </c>
      <c r="J967" t="s">
        <v>27</v>
      </c>
      <c r="K967" t="s">
        <v>21</v>
      </c>
      <c r="L967" t="s">
        <v>17</v>
      </c>
    </row>
    <row r="968" spans="1:12" x14ac:dyDescent="0.25">
      <c r="A968" t="s">
        <v>1956</v>
      </c>
      <c r="B968">
        <v>3</v>
      </c>
      <c r="C968" s="1">
        <v>44521</v>
      </c>
      <c r="D968" s="2">
        <v>0.64097222222222217</v>
      </c>
      <c r="E968" t="s">
        <v>1957</v>
      </c>
      <c r="F968" t="s">
        <v>31</v>
      </c>
      <c r="G968" t="s">
        <v>31</v>
      </c>
      <c r="H968" t="s">
        <v>31</v>
      </c>
      <c r="I968" t="s">
        <v>32</v>
      </c>
      <c r="J968" t="s">
        <v>27</v>
      </c>
      <c r="K968" t="s">
        <v>21</v>
      </c>
      <c r="L968" t="s">
        <v>33</v>
      </c>
    </row>
    <row r="969" spans="1:12" x14ac:dyDescent="0.25">
      <c r="A969" t="s">
        <v>1958</v>
      </c>
      <c r="B969">
        <v>3</v>
      </c>
      <c r="C969" s="1">
        <v>44521</v>
      </c>
      <c r="D969" s="2">
        <v>0.63680555555555551</v>
      </c>
      <c r="E969" t="s">
        <v>1959</v>
      </c>
      <c r="F969" t="s">
        <v>13</v>
      </c>
      <c r="G969" t="s">
        <v>13</v>
      </c>
      <c r="H969" t="s">
        <v>13</v>
      </c>
      <c r="I969" t="s">
        <v>14</v>
      </c>
      <c r="J969" t="s">
        <v>27</v>
      </c>
      <c r="K969" t="s">
        <v>21</v>
      </c>
      <c r="L969" t="s">
        <v>17</v>
      </c>
    </row>
    <row r="970" spans="1:12" x14ac:dyDescent="0.25">
      <c r="A970" t="s">
        <v>1960</v>
      </c>
      <c r="B970">
        <v>1</v>
      </c>
      <c r="C970" s="1">
        <v>44521</v>
      </c>
      <c r="D970" s="2">
        <v>0.63263888888888886</v>
      </c>
      <c r="E970" t="s">
        <v>1961</v>
      </c>
      <c r="F970" t="s">
        <v>31</v>
      </c>
      <c r="G970" t="s">
        <v>31</v>
      </c>
      <c r="H970" t="s">
        <v>31</v>
      </c>
      <c r="I970" t="s">
        <v>32</v>
      </c>
      <c r="J970" t="s">
        <v>27</v>
      </c>
      <c r="K970" t="s">
        <v>21</v>
      </c>
      <c r="L970" t="s">
        <v>33</v>
      </c>
    </row>
    <row r="971" spans="1:12" x14ac:dyDescent="0.25">
      <c r="A971" t="s">
        <v>1962</v>
      </c>
      <c r="B971">
        <v>1</v>
      </c>
      <c r="C971" s="1">
        <v>44521</v>
      </c>
      <c r="D971" s="2">
        <v>0.62222222222222223</v>
      </c>
      <c r="E971" t="s">
        <v>1963</v>
      </c>
      <c r="F971" t="s">
        <v>13</v>
      </c>
      <c r="G971" t="s">
        <v>13</v>
      </c>
      <c r="H971" t="s">
        <v>13</v>
      </c>
      <c r="I971" t="s">
        <v>14</v>
      </c>
      <c r="J971" t="s">
        <v>27</v>
      </c>
      <c r="K971" t="s">
        <v>21</v>
      </c>
      <c r="L971" t="s">
        <v>17</v>
      </c>
    </row>
    <row r="972" spans="1:12" x14ac:dyDescent="0.25">
      <c r="A972" t="s">
        <v>1964</v>
      </c>
      <c r="B972">
        <v>2</v>
      </c>
      <c r="C972" s="1">
        <v>44521</v>
      </c>
      <c r="D972" s="2">
        <v>0.61736111111111114</v>
      </c>
      <c r="E972" t="s">
        <v>1965</v>
      </c>
      <c r="F972" t="s">
        <v>13</v>
      </c>
      <c r="G972" t="s">
        <v>13</v>
      </c>
      <c r="H972" t="s">
        <v>13</v>
      </c>
      <c r="I972" t="s">
        <v>14</v>
      </c>
      <c r="J972" t="s">
        <v>27</v>
      </c>
      <c r="K972" t="s">
        <v>21</v>
      </c>
      <c r="L972" t="s">
        <v>17</v>
      </c>
    </row>
    <row r="973" spans="1:12" x14ac:dyDescent="0.25">
      <c r="A973" t="s">
        <v>1966</v>
      </c>
      <c r="B973">
        <v>2</v>
      </c>
      <c r="C973" s="1">
        <v>44521</v>
      </c>
      <c r="D973" s="2">
        <v>0.61111111111111105</v>
      </c>
      <c r="E973" t="s">
        <v>1967</v>
      </c>
      <c r="F973" t="s">
        <v>13</v>
      </c>
      <c r="G973" t="s">
        <v>13</v>
      </c>
      <c r="H973" t="s">
        <v>13</v>
      </c>
      <c r="I973" t="s">
        <v>14</v>
      </c>
      <c r="J973" t="s">
        <v>27</v>
      </c>
      <c r="K973" t="s">
        <v>21</v>
      </c>
      <c r="L973" t="s">
        <v>17</v>
      </c>
    </row>
    <row r="974" spans="1:12" x14ac:dyDescent="0.25">
      <c r="A974" t="s">
        <v>1968</v>
      </c>
      <c r="B974">
        <v>4</v>
      </c>
      <c r="C974" s="1">
        <v>44521</v>
      </c>
      <c r="D974" s="2">
        <v>0.60763888888888895</v>
      </c>
      <c r="E974" t="s">
        <v>1969</v>
      </c>
      <c r="F974" t="s">
        <v>13</v>
      </c>
      <c r="G974" t="s">
        <v>13</v>
      </c>
      <c r="H974" t="s">
        <v>13</v>
      </c>
      <c r="I974" t="s">
        <v>14</v>
      </c>
      <c r="J974" t="s">
        <v>27</v>
      </c>
      <c r="K974" t="s">
        <v>21</v>
      </c>
      <c r="L974" t="s">
        <v>17</v>
      </c>
    </row>
    <row r="975" spans="1:12" x14ac:dyDescent="0.25">
      <c r="A975" t="s">
        <v>1970</v>
      </c>
      <c r="B975">
        <v>3</v>
      </c>
      <c r="C975" s="1">
        <v>44521</v>
      </c>
      <c r="D975" s="2">
        <v>0.59513888888888888</v>
      </c>
      <c r="E975" t="s">
        <v>1971</v>
      </c>
      <c r="F975" t="s">
        <v>31</v>
      </c>
      <c r="G975" t="s">
        <v>31</v>
      </c>
      <c r="H975" t="s">
        <v>31</v>
      </c>
      <c r="I975" t="s">
        <v>32</v>
      </c>
      <c r="J975" t="s">
        <v>27</v>
      </c>
      <c r="K975" t="s">
        <v>21</v>
      </c>
      <c r="L975" t="s">
        <v>33</v>
      </c>
    </row>
    <row r="976" spans="1:12" x14ac:dyDescent="0.25">
      <c r="A976" t="s">
        <v>1972</v>
      </c>
      <c r="B976">
        <v>2</v>
      </c>
      <c r="C976" s="1">
        <v>44521</v>
      </c>
      <c r="D976" s="2">
        <v>0.50347222222222221</v>
      </c>
      <c r="E976" t="s">
        <v>1973</v>
      </c>
      <c r="F976" t="s">
        <v>31</v>
      </c>
      <c r="G976" t="s">
        <v>31</v>
      </c>
      <c r="H976" t="s">
        <v>31</v>
      </c>
      <c r="I976" t="s">
        <v>32</v>
      </c>
      <c r="J976" t="s">
        <v>27</v>
      </c>
      <c r="K976" t="s">
        <v>21</v>
      </c>
      <c r="L976" t="s">
        <v>33</v>
      </c>
    </row>
    <row r="977" spans="1:12" x14ac:dyDescent="0.25">
      <c r="A977" t="s">
        <v>1974</v>
      </c>
      <c r="B977">
        <v>4</v>
      </c>
      <c r="C977" s="1">
        <v>44521</v>
      </c>
      <c r="D977" s="2">
        <v>0.42499999999999999</v>
      </c>
      <c r="E977" t="s">
        <v>1975</v>
      </c>
      <c r="F977" t="s">
        <v>36</v>
      </c>
      <c r="G977" t="s">
        <v>36</v>
      </c>
      <c r="H977" t="s">
        <v>36</v>
      </c>
      <c r="I977" t="s">
        <v>13</v>
      </c>
      <c r="J977" t="s">
        <v>27</v>
      </c>
      <c r="K977" t="s">
        <v>21</v>
      </c>
      <c r="L977" t="s">
        <v>17</v>
      </c>
    </row>
    <row r="978" spans="1:12" x14ac:dyDescent="0.25">
      <c r="A978" t="s">
        <v>1976</v>
      </c>
      <c r="B978">
        <v>2</v>
      </c>
      <c r="C978" s="1">
        <v>44520</v>
      </c>
      <c r="D978" s="2">
        <v>0.36874999999999997</v>
      </c>
      <c r="E978" t="s">
        <v>1977</v>
      </c>
      <c r="F978" t="s">
        <v>31</v>
      </c>
      <c r="G978" t="s">
        <v>31</v>
      </c>
      <c r="H978" t="s">
        <v>31</v>
      </c>
      <c r="I978" t="s">
        <v>32</v>
      </c>
      <c r="J978" t="s">
        <v>27</v>
      </c>
      <c r="K978" t="s">
        <v>21</v>
      </c>
      <c r="L978" t="s">
        <v>33</v>
      </c>
    </row>
    <row r="979" spans="1:12" x14ac:dyDescent="0.25">
      <c r="A979" t="s">
        <v>1978</v>
      </c>
      <c r="B979">
        <v>1</v>
      </c>
      <c r="C979" s="1">
        <v>44520</v>
      </c>
      <c r="D979" s="2">
        <v>0.32708333333333334</v>
      </c>
      <c r="E979" t="s">
        <v>1979</v>
      </c>
      <c r="F979" t="s">
        <v>36</v>
      </c>
      <c r="G979" t="s">
        <v>36</v>
      </c>
      <c r="H979" t="s">
        <v>36</v>
      </c>
      <c r="I979" t="s">
        <v>13</v>
      </c>
      <c r="J979" t="s">
        <v>27</v>
      </c>
      <c r="K979" t="s">
        <v>21</v>
      </c>
      <c r="L979" t="s">
        <v>17</v>
      </c>
    </row>
    <row r="980" spans="1:12" x14ac:dyDescent="0.25">
      <c r="A980" t="s">
        <v>1980</v>
      </c>
      <c r="B980">
        <v>3</v>
      </c>
      <c r="C980" s="1">
        <v>44520</v>
      </c>
      <c r="D980" s="2">
        <v>0.22638888888888889</v>
      </c>
      <c r="E980" t="s">
        <v>1981</v>
      </c>
      <c r="F980" t="s">
        <v>31</v>
      </c>
      <c r="G980" t="s">
        <v>31</v>
      </c>
      <c r="H980" t="s">
        <v>31</v>
      </c>
      <c r="I980" t="s">
        <v>32</v>
      </c>
      <c r="J980" t="s">
        <v>27</v>
      </c>
      <c r="K980" t="s">
        <v>21</v>
      </c>
      <c r="L980" t="s">
        <v>33</v>
      </c>
    </row>
    <row r="981" spans="1:12" x14ac:dyDescent="0.25">
      <c r="A981" t="s">
        <v>1982</v>
      </c>
      <c r="B981">
        <v>1</v>
      </c>
      <c r="C981" s="1">
        <v>44520</v>
      </c>
      <c r="D981" s="2">
        <v>0.20208333333333331</v>
      </c>
      <c r="E981" t="s">
        <v>1983</v>
      </c>
      <c r="F981" t="s">
        <v>31</v>
      </c>
      <c r="G981" t="s">
        <v>31</v>
      </c>
      <c r="H981" t="s">
        <v>31</v>
      </c>
      <c r="I981" t="s">
        <v>32</v>
      </c>
      <c r="J981" t="s">
        <v>27</v>
      </c>
      <c r="K981" t="s">
        <v>21</v>
      </c>
      <c r="L981" t="s">
        <v>33</v>
      </c>
    </row>
    <row r="982" spans="1:12" x14ac:dyDescent="0.25">
      <c r="A982" t="s">
        <v>1984</v>
      </c>
      <c r="B982">
        <v>2</v>
      </c>
      <c r="C982" s="1">
        <v>44520</v>
      </c>
      <c r="D982" s="2">
        <v>0.18680555555555556</v>
      </c>
      <c r="E982" t="s">
        <v>1985</v>
      </c>
      <c r="F982" t="s">
        <v>36</v>
      </c>
      <c r="G982" t="s">
        <v>36</v>
      </c>
      <c r="H982" t="s">
        <v>36</v>
      </c>
      <c r="I982" t="s">
        <v>13</v>
      </c>
      <c r="J982" t="s">
        <v>27</v>
      </c>
      <c r="K982" t="s">
        <v>21</v>
      </c>
      <c r="L982" t="s">
        <v>17</v>
      </c>
    </row>
    <row r="983" spans="1:12" x14ac:dyDescent="0.25">
      <c r="A983" t="s">
        <v>1986</v>
      </c>
      <c r="B983">
        <v>5</v>
      </c>
      <c r="C983" s="1">
        <v>44520</v>
      </c>
      <c r="D983" s="2">
        <v>0.14652777777777778</v>
      </c>
      <c r="E983" t="s">
        <v>1987</v>
      </c>
      <c r="F983" t="s">
        <v>31</v>
      </c>
      <c r="G983" t="s">
        <v>31</v>
      </c>
      <c r="H983" t="s">
        <v>31</v>
      </c>
      <c r="I983" t="s">
        <v>32</v>
      </c>
      <c r="J983" t="s">
        <v>27</v>
      </c>
      <c r="K983" t="s">
        <v>21</v>
      </c>
      <c r="L983" t="s">
        <v>33</v>
      </c>
    </row>
    <row r="984" spans="1:12" x14ac:dyDescent="0.25">
      <c r="A984" t="s">
        <v>1988</v>
      </c>
      <c r="B984">
        <v>1</v>
      </c>
      <c r="C984" s="1">
        <v>44520</v>
      </c>
      <c r="D984" s="2">
        <v>7.4999999999999997E-2</v>
      </c>
      <c r="E984" t="s">
        <v>1989</v>
      </c>
      <c r="F984" t="s">
        <v>31</v>
      </c>
      <c r="G984" t="s">
        <v>31</v>
      </c>
      <c r="H984" t="s">
        <v>31</v>
      </c>
      <c r="I984" t="s">
        <v>32</v>
      </c>
      <c r="J984" t="s">
        <v>27</v>
      </c>
      <c r="K984" t="s">
        <v>21</v>
      </c>
      <c r="L984" t="s">
        <v>33</v>
      </c>
    </row>
    <row r="985" spans="1:12" x14ac:dyDescent="0.25">
      <c r="A985" t="s">
        <v>1990</v>
      </c>
      <c r="B985">
        <v>1</v>
      </c>
      <c r="C985" s="1">
        <v>44520</v>
      </c>
      <c r="D985" s="2">
        <v>0.69652777777777775</v>
      </c>
      <c r="E985" t="s">
        <v>1991</v>
      </c>
      <c r="F985" t="s">
        <v>13</v>
      </c>
      <c r="G985" t="s">
        <v>13</v>
      </c>
      <c r="H985" t="s">
        <v>13</v>
      </c>
      <c r="I985" t="s">
        <v>14</v>
      </c>
      <c r="J985" t="s">
        <v>27</v>
      </c>
      <c r="K985" t="s">
        <v>28</v>
      </c>
      <c r="L985" t="s">
        <v>17</v>
      </c>
    </row>
    <row r="986" spans="1:12" x14ac:dyDescent="0.25">
      <c r="A986" t="s">
        <v>1992</v>
      </c>
      <c r="B986">
        <v>5</v>
      </c>
      <c r="C986" s="1">
        <v>44520</v>
      </c>
      <c r="D986" s="2">
        <v>0.56805555555555554</v>
      </c>
      <c r="E986" t="s">
        <v>1993</v>
      </c>
      <c r="F986" t="s">
        <v>31</v>
      </c>
      <c r="G986" t="s">
        <v>31</v>
      </c>
      <c r="H986" t="s">
        <v>31</v>
      </c>
      <c r="I986" t="s">
        <v>32</v>
      </c>
      <c r="J986" t="s">
        <v>27</v>
      </c>
      <c r="K986" t="s">
        <v>21</v>
      </c>
      <c r="L986" t="s">
        <v>33</v>
      </c>
    </row>
    <row r="987" spans="1:12" x14ac:dyDescent="0.25">
      <c r="A987" t="s">
        <v>1994</v>
      </c>
      <c r="B987">
        <v>1</v>
      </c>
      <c r="C987" s="1">
        <v>44520</v>
      </c>
      <c r="D987" s="2">
        <v>0.52500000000000002</v>
      </c>
      <c r="E987" t="s">
        <v>1995</v>
      </c>
      <c r="F987" t="s">
        <v>13</v>
      </c>
      <c r="G987" t="s">
        <v>13</v>
      </c>
      <c r="H987" t="s">
        <v>13</v>
      </c>
      <c r="I987" t="s">
        <v>14</v>
      </c>
      <c r="J987" t="s">
        <v>27</v>
      </c>
      <c r="K987" t="s">
        <v>28</v>
      </c>
      <c r="L987" t="s">
        <v>17</v>
      </c>
    </row>
    <row r="988" spans="1:12" x14ac:dyDescent="0.25">
      <c r="A988" t="s">
        <v>1996</v>
      </c>
      <c r="B988">
        <v>1</v>
      </c>
      <c r="C988" s="1">
        <v>44520</v>
      </c>
      <c r="D988" s="2">
        <v>0.48333333333333334</v>
      </c>
      <c r="E988" t="s">
        <v>1997</v>
      </c>
      <c r="F988" t="s">
        <v>13</v>
      </c>
      <c r="G988" t="s">
        <v>13</v>
      </c>
      <c r="H988" t="s">
        <v>13</v>
      </c>
      <c r="I988" t="s">
        <v>14</v>
      </c>
      <c r="J988" t="s">
        <v>27</v>
      </c>
      <c r="K988" t="s">
        <v>21</v>
      </c>
      <c r="L988" t="s">
        <v>17</v>
      </c>
    </row>
    <row r="989" spans="1:12" x14ac:dyDescent="0.25">
      <c r="A989" t="s">
        <v>1998</v>
      </c>
      <c r="B989">
        <v>2</v>
      </c>
      <c r="C989" s="1">
        <v>44520</v>
      </c>
      <c r="D989" s="2">
        <v>0.47986111111111113</v>
      </c>
      <c r="E989" t="s">
        <v>1999</v>
      </c>
      <c r="F989" t="s">
        <v>13</v>
      </c>
      <c r="G989" t="s">
        <v>13</v>
      </c>
      <c r="H989" t="s">
        <v>13</v>
      </c>
      <c r="I989" t="s">
        <v>14</v>
      </c>
      <c r="J989" t="s">
        <v>27</v>
      </c>
      <c r="K989" t="s">
        <v>21</v>
      </c>
      <c r="L989" t="s">
        <v>17</v>
      </c>
    </row>
    <row r="990" spans="1:12" x14ac:dyDescent="0.25">
      <c r="A990" t="s">
        <v>2000</v>
      </c>
      <c r="B990">
        <v>1</v>
      </c>
      <c r="C990" s="1">
        <v>44520</v>
      </c>
      <c r="D990" s="2">
        <v>0.45416666666666666</v>
      </c>
      <c r="E990" t="s">
        <v>2001</v>
      </c>
      <c r="F990" t="s">
        <v>13</v>
      </c>
      <c r="G990" t="s">
        <v>13</v>
      </c>
      <c r="H990" t="s">
        <v>13</v>
      </c>
      <c r="I990" t="s">
        <v>14</v>
      </c>
      <c r="J990" t="s">
        <v>27</v>
      </c>
      <c r="K990" t="s">
        <v>21</v>
      </c>
      <c r="L990" t="s">
        <v>17</v>
      </c>
    </row>
    <row r="991" spans="1:12" x14ac:dyDescent="0.25">
      <c r="A991" t="s">
        <v>2002</v>
      </c>
      <c r="B991">
        <v>1</v>
      </c>
      <c r="C991" s="1">
        <v>44519</v>
      </c>
      <c r="D991" s="2">
        <v>0.13472222222222222</v>
      </c>
      <c r="E991" t="s">
        <v>2003</v>
      </c>
      <c r="F991" t="s">
        <v>31</v>
      </c>
      <c r="G991" t="s">
        <v>31</v>
      </c>
      <c r="H991" t="s">
        <v>31</v>
      </c>
      <c r="I991" t="s">
        <v>32</v>
      </c>
      <c r="J991" t="s">
        <v>27</v>
      </c>
      <c r="K991" t="s">
        <v>21</v>
      </c>
      <c r="L991" t="s">
        <v>33</v>
      </c>
    </row>
    <row r="992" spans="1:12" x14ac:dyDescent="0.25">
      <c r="A992" t="s">
        <v>2004</v>
      </c>
      <c r="B992">
        <v>1</v>
      </c>
      <c r="C992" s="1">
        <v>44519</v>
      </c>
      <c r="D992" s="2">
        <v>0.67986111111111114</v>
      </c>
      <c r="E992" t="s">
        <v>2005</v>
      </c>
      <c r="F992" t="s">
        <v>31</v>
      </c>
      <c r="G992" t="s">
        <v>31</v>
      </c>
      <c r="H992" t="s">
        <v>31</v>
      </c>
      <c r="I992" t="s">
        <v>32</v>
      </c>
      <c r="J992" t="s">
        <v>27</v>
      </c>
      <c r="K992" t="s">
        <v>21</v>
      </c>
      <c r="L992" t="s">
        <v>33</v>
      </c>
    </row>
    <row r="993" spans="1:12" x14ac:dyDescent="0.25">
      <c r="A993" t="s">
        <v>2006</v>
      </c>
      <c r="B993">
        <v>1</v>
      </c>
      <c r="C993" s="1">
        <v>44519</v>
      </c>
      <c r="D993" s="2">
        <v>0.67361111111111116</v>
      </c>
      <c r="E993" t="s">
        <v>2007</v>
      </c>
      <c r="F993" t="s">
        <v>13</v>
      </c>
      <c r="G993" t="s">
        <v>13</v>
      </c>
      <c r="H993" t="s">
        <v>13</v>
      </c>
      <c r="I993" t="s">
        <v>14</v>
      </c>
      <c r="J993" t="s">
        <v>27</v>
      </c>
      <c r="K993" t="s">
        <v>21</v>
      </c>
      <c r="L993" t="s">
        <v>17</v>
      </c>
    </row>
    <row r="994" spans="1:12" x14ac:dyDescent="0.25">
      <c r="A994" t="s">
        <v>2008</v>
      </c>
      <c r="B994">
        <v>1</v>
      </c>
      <c r="C994" s="1">
        <v>44519</v>
      </c>
      <c r="D994" s="2">
        <v>0.60972222222222217</v>
      </c>
      <c r="E994" t="s">
        <v>2009</v>
      </c>
      <c r="F994" t="s">
        <v>13</v>
      </c>
      <c r="G994" t="s">
        <v>13</v>
      </c>
      <c r="H994" t="s">
        <v>13</v>
      </c>
      <c r="I994" t="s">
        <v>14</v>
      </c>
      <c r="J994" t="s">
        <v>27</v>
      </c>
      <c r="K994" t="s">
        <v>21</v>
      </c>
      <c r="L994" t="s">
        <v>17</v>
      </c>
    </row>
    <row r="995" spans="1:12" x14ac:dyDescent="0.25">
      <c r="A995" t="s">
        <v>2010</v>
      </c>
      <c r="B995">
        <v>1</v>
      </c>
      <c r="C995" s="1">
        <v>44518</v>
      </c>
      <c r="D995" s="2">
        <v>0.29097222222222224</v>
      </c>
      <c r="E995" t="s">
        <v>2011</v>
      </c>
      <c r="F995" t="s">
        <v>13</v>
      </c>
      <c r="G995" t="s">
        <v>13</v>
      </c>
      <c r="H995" t="s">
        <v>13</v>
      </c>
      <c r="I995" t="s">
        <v>14</v>
      </c>
      <c r="J995" t="s">
        <v>27</v>
      </c>
      <c r="K995" t="s">
        <v>21</v>
      </c>
      <c r="L995" t="s">
        <v>17</v>
      </c>
    </row>
    <row r="996" spans="1:12" x14ac:dyDescent="0.25">
      <c r="A996" t="s">
        <v>2012</v>
      </c>
      <c r="B996">
        <v>1</v>
      </c>
      <c r="C996" s="1">
        <v>44518</v>
      </c>
      <c r="D996" s="2">
        <v>0.10208333333333335</v>
      </c>
      <c r="E996" t="s">
        <v>2013</v>
      </c>
      <c r="F996" t="s">
        <v>31</v>
      </c>
      <c r="G996" t="s">
        <v>31</v>
      </c>
      <c r="H996" t="s">
        <v>31</v>
      </c>
      <c r="I996" t="s">
        <v>32</v>
      </c>
      <c r="J996" t="s">
        <v>27</v>
      </c>
      <c r="K996" t="s">
        <v>21</v>
      </c>
      <c r="L996" t="s">
        <v>33</v>
      </c>
    </row>
    <row r="997" spans="1:12" x14ac:dyDescent="0.25">
      <c r="A997" t="s">
        <v>2014</v>
      </c>
      <c r="B997">
        <v>1</v>
      </c>
      <c r="C997" s="1">
        <v>44518</v>
      </c>
      <c r="D997" s="2">
        <v>0.94097222222222221</v>
      </c>
      <c r="E997" t="s">
        <v>2015</v>
      </c>
      <c r="F997" t="s">
        <v>13</v>
      </c>
      <c r="G997" t="s">
        <v>13</v>
      </c>
      <c r="H997" t="s">
        <v>13</v>
      </c>
      <c r="I997" t="s">
        <v>14</v>
      </c>
      <c r="J997" t="s">
        <v>27</v>
      </c>
      <c r="K997" t="s">
        <v>21</v>
      </c>
      <c r="L997" t="s">
        <v>17</v>
      </c>
    </row>
    <row r="998" spans="1:12" x14ac:dyDescent="0.25">
      <c r="A998" t="s">
        <v>2016</v>
      </c>
      <c r="B998">
        <v>2</v>
      </c>
      <c r="C998" s="1">
        <v>44518</v>
      </c>
      <c r="D998" s="2">
        <v>0.70624999999999993</v>
      </c>
      <c r="E998" t="s">
        <v>2017</v>
      </c>
      <c r="F998" t="s">
        <v>31</v>
      </c>
      <c r="G998" t="s">
        <v>31</v>
      </c>
      <c r="H998" t="s">
        <v>31</v>
      </c>
      <c r="I998" t="s">
        <v>32</v>
      </c>
      <c r="J998" t="s">
        <v>27</v>
      </c>
      <c r="K998" t="s">
        <v>28</v>
      </c>
      <c r="L998" t="s">
        <v>33</v>
      </c>
    </row>
    <row r="999" spans="1:12" x14ac:dyDescent="0.25">
      <c r="A999" t="s">
        <v>2018</v>
      </c>
      <c r="B999">
        <v>1</v>
      </c>
      <c r="C999" s="1">
        <v>44518</v>
      </c>
      <c r="D999" s="2">
        <v>0.69652777777777775</v>
      </c>
      <c r="E999" t="s">
        <v>2019</v>
      </c>
      <c r="F999" t="s">
        <v>13</v>
      </c>
      <c r="G999" t="s">
        <v>13</v>
      </c>
      <c r="H999" t="s">
        <v>13</v>
      </c>
      <c r="I999" t="s">
        <v>14</v>
      </c>
      <c r="J999" t="s">
        <v>27</v>
      </c>
      <c r="K999" t="s">
        <v>28</v>
      </c>
      <c r="L999" t="s">
        <v>17</v>
      </c>
    </row>
    <row r="1000" spans="1:12" x14ac:dyDescent="0.25">
      <c r="A1000" t="s">
        <v>2020</v>
      </c>
      <c r="B1000">
        <v>1</v>
      </c>
      <c r="C1000" s="1">
        <v>44518</v>
      </c>
      <c r="D1000" s="2">
        <v>0.66597222222222219</v>
      </c>
      <c r="E1000" t="s">
        <v>2021</v>
      </c>
      <c r="F1000" t="s">
        <v>13</v>
      </c>
      <c r="G1000" t="s">
        <v>13</v>
      </c>
      <c r="H1000" t="s">
        <v>13</v>
      </c>
      <c r="I1000" t="s">
        <v>14</v>
      </c>
      <c r="J1000" t="s">
        <v>27</v>
      </c>
      <c r="K1000" t="s">
        <v>21</v>
      </c>
      <c r="L1000" t="s">
        <v>17</v>
      </c>
    </row>
    <row r="1001" spans="1:12" x14ac:dyDescent="0.25">
      <c r="A1001" t="s">
        <v>2022</v>
      </c>
      <c r="B1001">
        <v>1</v>
      </c>
      <c r="C1001" s="1">
        <v>44518</v>
      </c>
      <c r="D1001" s="2">
        <v>0.54236111111111118</v>
      </c>
      <c r="E1001" t="s">
        <v>2023</v>
      </c>
      <c r="F1001" t="s">
        <v>31</v>
      </c>
      <c r="G1001" t="s">
        <v>31</v>
      </c>
      <c r="H1001" t="s">
        <v>31</v>
      </c>
      <c r="I1001" t="s">
        <v>32</v>
      </c>
      <c r="J1001" t="s">
        <v>27</v>
      </c>
      <c r="K1001" t="s">
        <v>21</v>
      </c>
      <c r="L1001" t="s">
        <v>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0236-1CF0-4BFC-BAC4-1A2EBB33FED1}">
  <dimension ref="A2:W21"/>
  <sheetViews>
    <sheetView workbookViewId="0">
      <selection activeCell="G16" sqref="G16"/>
    </sheetView>
  </sheetViews>
  <sheetFormatPr defaultRowHeight="15" x14ac:dyDescent="0.25"/>
  <cols>
    <col min="1" max="1" width="13.140625" bestFit="1" customWidth="1"/>
    <col min="2" max="2" width="18.7109375" bestFit="1" customWidth="1"/>
    <col min="3" max="3" width="5" bestFit="1" customWidth="1"/>
    <col min="4" max="4" width="11.28515625" bestFit="1" customWidth="1"/>
    <col min="5" max="5" width="13.140625" bestFit="1" customWidth="1"/>
    <col min="6" max="6" width="14" bestFit="1" customWidth="1"/>
  </cols>
  <sheetData>
    <row r="2" spans="1:23" x14ac:dyDescent="0.25">
      <c r="A2" s="3" t="s">
        <v>2024</v>
      </c>
      <c r="B2" t="s">
        <v>2033</v>
      </c>
      <c r="E2" t="s">
        <v>2034</v>
      </c>
    </row>
    <row r="3" spans="1:23" x14ac:dyDescent="0.25">
      <c r="A3" s="4" t="s">
        <v>2026</v>
      </c>
      <c r="B3" s="5">
        <v>432</v>
      </c>
      <c r="E3" s="5">
        <v>1000</v>
      </c>
    </row>
    <row r="4" spans="1:23" x14ac:dyDescent="0.25">
      <c r="A4" s="6" t="s">
        <v>2027</v>
      </c>
      <c r="B4" s="5">
        <v>112</v>
      </c>
      <c r="W4" t="s">
        <v>1</v>
      </c>
    </row>
    <row r="5" spans="1:23" x14ac:dyDescent="0.25">
      <c r="A5" s="6" t="s">
        <v>2028</v>
      </c>
      <c r="B5" s="5">
        <v>320</v>
      </c>
      <c r="W5" t="s">
        <v>2037</v>
      </c>
    </row>
    <row r="6" spans="1:23" x14ac:dyDescent="0.25">
      <c r="A6" s="4" t="s">
        <v>2029</v>
      </c>
      <c r="B6" s="5">
        <v>568</v>
      </c>
      <c r="E6" s="3" t="s">
        <v>2024</v>
      </c>
      <c r="F6" t="s">
        <v>2035</v>
      </c>
      <c r="W6" t="s">
        <v>2038</v>
      </c>
    </row>
    <row r="7" spans="1:23" x14ac:dyDescent="0.25">
      <c r="A7" s="6" t="s">
        <v>2030</v>
      </c>
      <c r="B7" s="5">
        <v>262</v>
      </c>
      <c r="E7" s="4">
        <v>1</v>
      </c>
      <c r="F7" s="5">
        <v>549</v>
      </c>
      <c r="G7" s="23">
        <f>GETPIVOTDATA("Score",$E$6,"Score",1)/(GETPIVOTDATA("Score",$E$6,"Score",1)+GETPIVOTDATA("Score",$E$6,"Score",2)+GETPIVOTDATA("Score",$E$6,"Score",3)+GETPIVOTDATA("Score",$E$6,"Score",4)+GETPIVOTDATA("Score",$E$6,"Score",5))</f>
        <v>0.54900000000000004</v>
      </c>
    </row>
    <row r="8" spans="1:23" x14ac:dyDescent="0.25">
      <c r="A8" s="6" t="s">
        <v>2031</v>
      </c>
      <c r="B8" s="5">
        <v>306</v>
      </c>
      <c r="E8" s="4">
        <v>2</v>
      </c>
      <c r="F8" s="5">
        <v>118</v>
      </c>
      <c r="G8" s="23">
        <f>GETPIVOTDATA("Score",$E$6,"Score",2)/(GETPIVOTDATA("Score",$E$6,"Score",1)+GETPIVOTDATA("Score",$E$6,"Score",2)+GETPIVOTDATA("Score",$E$6,"Score",3)+GETPIVOTDATA("Score",$E$6,"Score",4)+GETPIVOTDATA("Score",$E$6,"Score",5))</f>
        <v>0.11799999999999999</v>
      </c>
    </row>
    <row r="9" spans="1:23" x14ac:dyDescent="0.25">
      <c r="A9" s="4" t="s">
        <v>2025</v>
      </c>
      <c r="B9" s="5">
        <v>1000</v>
      </c>
      <c r="E9" s="4">
        <v>3</v>
      </c>
      <c r="F9" s="5">
        <v>97</v>
      </c>
      <c r="G9" s="23">
        <f>GETPIVOTDATA("Score",$E$6,"Score",3)/(GETPIVOTDATA("Score",$E$6,"Score",1)+GETPIVOTDATA("Score",$E$6,"Score",2)+GETPIVOTDATA("Score",$E$6,"Score",3)+GETPIVOTDATA("Score",$E$6,"Score",4)+GETPIVOTDATA("Score",$E$6,"Score",5))</f>
        <v>9.7000000000000003E-2</v>
      </c>
    </row>
    <row r="10" spans="1:23" x14ac:dyDescent="0.25">
      <c r="E10" s="4">
        <v>4</v>
      </c>
      <c r="F10" s="5">
        <v>81</v>
      </c>
      <c r="G10" s="23">
        <f>GETPIVOTDATA("Score",$E$6,"Score",4)/(GETPIVOTDATA("Score",$E$6,"Score",1)+GETPIVOTDATA("Score",$E$6,"Score",2)+GETPIVOTDATA("Score",$E$6,"Score",3)+GETPIVOTDATA("Score",$E$6,"Score",4)+GETPIVOTDATA("Score",$E$6,"Score",5))</f>
        <v>8.1000000000000003E-2</v>
      </c>
    </row>
    <row r="11" spans="1:23" x14ac:dyDescent="0.25">
      <c r="E11" s="4">
        <v>5</v>
      </c>
      <c r="F11" s="5">
        <v>155</v>
      </c>
      <c r="G11" s="23">
        <f>GETPIVOTDATA("Score",$E$6,"Score",5)/(GETPIVOTDATA("Score",$E$6,"Score",1)+GETPIVOTDATA("Score",$E$6,"Score",2)+GETPIVOTDATA("Score",$E$6,"Score",3)+GETPIVOTDATA("Score",$E$6,"Score",4)+GETPIVOTDATA("Score",$E$6,"Score",5))</f>
        <v>0.155</v>
      </c>
    </row>
    <row r="12" spans="1:23" x14ac:dyDescent="0.25">
      <c r="A12" s="3" t="s">
        <v>2024</v>
      </c>
      <c r="B12" t="s">
        <v>2033</v>
      </c>
      <c r="E12" s="4" t="s">
        <v>2025</v>
      </c>
      <c r="F12" s="5">
        <v>1000</v>
      </c>
      <c r="G12" s="23">
        <f>SUM(G7:G11)</f>
        <v>1</v>
      </c>
    </row>
    <row r="13" spans="1:23" x14ac:dyDescent="0.25">
      <c r="A13" s="4" t="s">
        <v>16</v>
      </c>
      <c r="B13" s="5">
        <v>94</v>
      </c>
    </row>
    <row r="14" spans="1:23" x14ac:dyDescent="0.25">
      <c r="A14" s="4" t="s">
        <v>21</v>
      </c>
      <c r="B14" s="5">
        <v>759</v>
      </c>
    </row>
    <row r="15" spans="1:23" x14ac:dyDescent="0.25">
      <c r="A15" s="4" t="s">
        <v>28</v>
      </c>
      <c r="B15" s="5">
        <v>147</v>
      </c>
    </row>
    <row r="16" spans="1:23" x14ac:dyDescent="0.25">
      <c r="A16" s="4" t="s">
        <v>2025</v>
      </c>
      <c r="B16" s="5">
        <v>1000</v>
      </c>
    </row>
    <row r="19" spans="1:2" x14ac:dyDescent="0.25">
      <c r="A19">
        <v>63371</v>
      </c>
      <c r="B19" s="23">
        <f>A19/(A19+A20)</f>
        <v>0.72510183532427108</v>
      </c>
    </row>
    <row r="20" spans="1:2" x14ac:dyDescent="0.25">
      <c r="A20">
        <v>24025</v>
      </c>
      <c r="B20" s="23">
        <f>A20/(A20+A19)</f>
        <v>0.27489816467572886</v>
      </c>
    </row>
    <row r="21" spans="1:2" x14ac:dyDescent="0.25">
      <c r="A21" s="22">
        <v>87396</v>
      </c>
      <c r="B21" s="23"/>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D64CA-A4B1-4E8B-BFC8-72D288C8EA57}">
  <sheetPr>
    <pageSetUpPr fitToPage="1"/>
  </sheetPr>
  <dimension ref="A1:Q33"/>
  <sheetViews>
    <sheetView showGridLines="0" showRowColHeaders="0" tabSelected="1" zoomScale="85" zoomScaleNormal="60" workbookViewId="0">
      <selection activeCell="A3" sqref="A3"/>
    </sheetView>
  </sheetViews>
  <sheetFormatPr defaultRowHeight="15" x14ac:dyDescent="0.25"/>
  <cols>
    <col min="2" max="2" width="1.42578125" customWidth="1"/>
    <col min="3" max="3" width="18.7109375" bestFit="1" customWidth="1"/>
    <col min="4" max="4" width="3.28515625" customWidth="1"/>
  </cols>
  <sheetData>
    <row r="1" spans="1:17" ht="15" customHeight="1" thickBot="1" x14ac:dyDescent="0.3">
      <c r="A1" s="7"/>
      <c r="B1" s="7"/>
      <c r="C1" s="7"/>
      <c r="D1" s="7"/>
      <c r="E1" s="7"/>
      <c r="F1" s="7"/>
      <c r="G1" s="7"/>
      <c r="H1" s="7"/>
      <c r="I1" s="7"/>
      <c r="J1" s="7"/>
      <c r="K1" s="7"/>
      <c r="L1" s="7"/>
      <c r="M1" s="7"/>
      <c r="N1" s="7"/>
    </row>
    <row r="2" spans="1:17" ht="15" customHeight="1" x14ac:dyDescent="0.25">
      <c r="A2" s="7"/>
      <c r="B2" s="8" t="s">
        <v>2036</v>
      </c>
      <c r="C2" s="9"/>
      <c r="D2" s="9"/>
      <c r="E2" s="9"/>
      <c r="F2" s="9"/>
      <c r="G2" s="9"/>
      <c r="H2" s="9"/>
      <c r="I2" s="9"/>
      <c r="J2" s="9"/>
      <c r="K2" s="9"/>
      <c r="L2" s="9"/>
      <c r="M2" s="9"/>
      <c r="N2" s="9"/>
      <c r="O2" s="9"/>
      <c r="P2" s="9"/>
      <c r="Q2" s="10"/>
    </row>
    <row r="3" spans="1:17" ht="15" customHeight="1" x14ac:dyDescent="0.25">
      <c r="A3" s="7"/>
      <c r="B3" s="11"/>
      <c r="C3" s="12"/>
      <c r="D3" s="12"/>
      <c r="E3" s="12"/>
      <c r="F3" s="12"/>
      <c r="G3" s="12"/>
      <c r="H3" s="12"/>
      <c r="I3" s="12"/>
      <c r="J3" s="12"/>
      <c r="K3" s="12"/>
      <c r="L3" s="12"/>
      <c r="M3" s="12"/>
      <c r="N3" s="12"/>
      <c r="O3" s="12"/>
      <c r="P3" s="12"/>
      <c r="Q3" s="13"/>
    </row>
    <row r="4" spans="1:17" ht="15" customHeight="1" x14ac:dyDescent="0.25">
      <c r="B4" s="11"/>
      <c r="C4" s="12"/>
      <c r="D4" s="12"/>
      <c r="E4" s="12"/>
      <c r="F4" s="12"/>
      <c r="G4" s="12"/>
      <c r="H4" s="12"/>
      <c r="I4" s="12"/>
      <c r="J4" s="12"/>
      <c r="K4" s="12"/>
      <c r="L4" s="12"/>
      <c r="M4" s="12"/>
      <c r="N4" s="12"/>
      <c r="O4" s="12"/>
      <c r="P4" s="12"/>
      <c r="Q4" s="13"/>
    </row>
    <row r="5" spans="1:17" x14ac:dyDescent="0.25">
      <c r="B5" s="14"/>
      <c r="C5" s="15"/>
      <c r="D5" s="15"/>
      <c r="E5" s="15"/>
      <c r="F5" s="15"/>
      <c r="G5" s="15"/>
      <c r="H5" s="15"/>
      <c r="I5" s="15"/>
      <c r="J5" s="15"/>
      <c r="K5" s="15"/>
      <c r="L5" s="15"/>
      <c r="M5" s="15"/>
      <c r="N5" s="15"/>
      <c r="O5" s="15"/>
      <c r="P5" s="15"/>
      <c r="Q5" s="16"/>
    </row>
    <row r="6" spans="1:17" x14ac:dyDescent="0.25">
      <c r="B6" s="14"/>
      <c r="C6" s="15"/>
      <c r="D6" s="15"/>
      <c r="E6" s="15"/>
      <c r="F6" s="15"/>
      <c r="G6" s="15"/>
      <c r="H6" s="15"/>
      <c r="I6" s="15"/>
      <c r="J6" s="15"/>
      <c r="K6" s="15"/>
      <c r="L6" s="15"/>
      <c r="M6" s="15"/>
      <c r="N6" s="15"/>
      <c r="O6" s="15"/>
      <c r="P6" s="15"/>
      <c r="Q6" s="16"/>
    </row>
    <row r="7" spans="1:17" x14ac:dyDescent="0.25">
      <c r="B7" s="14"/>
      <c r="C7" s="15"/>
      <c r="D7" s="15"/>
      <c r="E7" s="15"/>
      <c r="F7" s="15"/>
      <c r="G7" s="15"/>
      <c r="H7" s="15"/>
      <c r="I7" s="15"/>
      <c r="J7" s="15"/>
      <c r="K7" s="15"/>
      <c r="L7" s="15"/>
      <c r="M7" s="15"/>
      <c r="N7" s="15"/>
      <c r="O7" s="15"/>
      <c r="P7" s="15"/>
      <c r="Q7" s="16"/>
    </row>
    <row r="8" spans="1:17" x14ac:dyDescent="0.25">
      <c r="B8" s="14"/>
      <c r="C8" s="15"/>
      <c r="D8" s="15"/>
      <c r="E8" s="15"/>
      <c r="F8" s="15"/>
      <c r="G8" s="15"/>
      <c r="H8" s="15"/>
      <c r="I8" s="15"/>
      <c r="J8" s="15"/>
      <c r="K8" s="15"/>
      <c r="L8" s="15"/>
      <c r="M8" s="15"/>
      <c r="N8" s="15"/>
      <c r="O8" s="15"/>
      <c r="P8" s="15"/>
      <c r="Q8" s="16"/>
    </row>
    <row r="9" spans="1:17" x14ac:dyDescent="0.25">
      <c r="B9" s="14"/>
      <c r="C9" s="15"/>
      <c r="D9" s="15"/>
      <c r="E9" s="15"/>
      <c r="F9" s="15"/>
      <c r="G9" s="15"/>
      <c r="H9" s="15"/>
      <c r="I9" s="15"/>
      <c r="J9" s="15"/>
      <c r="K9" s="15"/>
      <c r="L9" s="15"/>
      <c r="M9" s="15"/>
      <c r="N9" s="15"/>
      <c r="O9" s="15"/>
      <c r="P9" s="15"/>
      <c r="Q9" s="16"/>
    </row>
    <row r="10" spans="1:17" x14ac:dyDescent="0.25">
      <c r="B10" s="14"/>
      <c r="C10" s="15"/>
      <c r="D10" s="15"/>
      <c r="E10" s="15"/>
      <c r="F10" s="15"/>
      <c r="G10" s="15"/>
      <c r="H10" s="15"/>
      <c r="I10" s="15"/>
      <c r="J10" s="15"/>
      <c r="K10" s="15"/>
      <c r="L10" s="15"/>
      <c r="M10" s="15"/>
      <c r="N10" s="15"/>
      <c r="O10" s="15"/>
      <c r="P10" s="15"/>
      <c r="Q10" s="16"/>
    </row>
    <row r="11" spans="1:17" x14ac:dyDescent="0.25">
      <c r="B11" s="14"/>
      <c r="C11" s="15"/>
      <c r="D11" s="15"/>
      <c r="E11" s="15"/>
      <c r="F11" s="15"/>
      <c r="G11" s="15"/>
      <c r="H11" s="15"/>
      <c r="I11" s="15"/>
      <c r="J11" s="15"/>
      <c r="K11" s="15"/>
      <c r="L11" s="15"/>
      <c r="M11" s="15"/>
      <c r="N11" s="15"/>
      <c r="O11" s="15"/>
      <c r="P11" s="15"/>
      <c r="Q11" s="16"/>
    </row>
    <row r="12" spans="1:17" x14ac:dyDescent="0.25">
      <c r="B12" s="14"/>
      <c r="C12" s="15"/>
      <c r="D12" s="15"/>
      <c r="E12" s="15"/>
      <c r="F12" s="15"/>
      <c r="G12" s="15"/>
      <c r="H12" s="15"/>
      <c r="I12" s="15"/>
      <c r="J12" s="15"/>
      <c r="K12" s="15"/>
      <c r="L12" s="15"/>
      <c r="M12" s="15"/>
      <c r="N12" s="15"/>
      <c r="O12" s="15"/>
      <c r="P12" s="15"/>
      <c r="Q12" s="16"/>
    </row>
    <row r="13" spans="1:17" ht="15.75" thickBot="1" x14ac:dyDescent="0.3">
      <c r="B13" s="14"/>
      <c r="C13" s="15"/>
      <c r="D13" s="15"/>
      <c r="E13" s="15"/>
      <c r="F13" s="15"/>
      <c r="G13" s="15"/>
      <c r="H13" s="15"/>
      <c r="I13" s="15"/>
      <c r="J13" s="15"/>
      <c r="K13" s="15"/>
      <c r="L13" s="15"/>
      <c r="M13" s="15"/>
      <c r="N13" s="15"/>
      <c r="O13" s="15"/>
      <c r="P13" s="15"/>
      <c r="Q13" s="16"/>
    </row>
    <row r="14" spans="1:17" ht="15.75" thickBot="1" x14ac:dyDescent="0.3">
      <c r="B14" s="14"/>
      <c r="C14" s="21" t="s">
        <v>2039</v>
      </c>
      <c r="D14" s="15"/>
      <c r="E14" s="15"/>
      <c r="F14" s="15"/>
      <c r="G14" s="15"/>
      <c r="H14" s="15"/>
      <c r="I14" s="15"/>
      <c r="J14" s="15"/>
      <c r="K14" s="15"/>
      <c r="L14" s="15"/>
      <c r="M14" s="15"/>
      <c r="N14" s="15"/>
      <c r="O14" s="15"/>
      <c r="P14" s="15"/>
      <c r="Q14" s="16"/>
    </row>
    <row r="15" spans="1:17" ht="15.75" thickBot="1" x14ac:dyDescent="0.3">
      <c r="B15" s="14"/>
      <c r="C15" s="20">
        <v>1000</v>
      </c>
      <c r="D15" s="15"/>
      <c r="E15" s="15"/>
      <c r="F15" s="15"/>
      <c r="G15" s="15"/>
      <c r="H15" s="15"/>
      <c r="I15" s="15"/>
      <c r="J15" s="15"/>
      <c r="K15" s="15"/>
      <c r="L15" s="15"/>
      <c r="M15" s="15"/>
      <c r="N15" s="15"/>
      <c r="O15" s="15"/>
      <c r="P15" s="15"/>
      <c r="Q15" s="16"/>
    </row>
    <row r="16" spans="1:17" x14ac:dyDescent="0.25">
      <c r="B16" s="14"/>
      <c r="C16" s="15"/>
      <c r="D16" s="15"/>
      <c r="E16" s="15"/>
      <c r="F16" s="15"/>
      <c r="G16" s="15"/>
      <c r="H16" s="15"/>
      <c r="I16" s="15"/>
      <c r="J16" s="15"/>
      <c r="K16" s="15"/>
      <c r="L16" s="15"/>
      <c r="M16" s="15"/>
      <c r="N16" s="15"/>
      <c r="O16" s="15"/>
      <c r="P16" s="15"/>
      <c r="Q16" s="16"/>
    </row>
    <row r="17" spans="2:17" x14ac:dyDescent="0.25">
      <c r="B17" s="14"/>
      <c r="C17" s="15"/>
      <c r="D17" s="15"/>
      <c r="E17" s="15"/>
      <c r="F17" s="15"/>
      <c r="G17" s="15"/>
      <c r="H17" s="15"/>
      <c r="I17" s="15"/>
      <c r="J17" s="15"/>
      <c r="K17" s="15"/>
      <c r="L17" s="15"/>
      <c r="M17" s="15"/>
      <c r="N17" s="15"/>
      <c r="O17" s="15"/>
      <c r="P17" s="15"/>
      <c r="Q17" s="16"/>
    </row>
    <row r="18" spans="2:17" x14ac:dyDescent="0.25">
      <c r="B18" s="14"/>
      <c r="C18" s="15"/>
      <c r="D18" s="15"/>
      <c r="E18" s="15"/>
      <c r="F18" s="15"/>
      <c r="G18" s="15"/>
      <c r="H18" s="15"/>
      <c r="I18" s="15"/>
      <c r="J18" s="15"/>
      <c r="K18" s="15"/>
      <c r="L18" s="15"/>
      <c r="M18" s="15"/>
      <c r="N18" s="15"/>
      <c r="O18" s="15"/>
      <c r="P18" s="15"/>
      <c r="Q18" s="16"/>
    </row>
    <row r="19" spans="2:17" x14ac:dyDescent="0.25">
      <c r="B19" s="14"/>
      <c r="C19" s="15"/>
      <c r="D19" s="15"/>
      <c r="E19" s="15"/>
      <c r="F19" s="15"/>
      <c r="G19" s="15"/>
      <c r="H19" s="15"/>
      <c r="I19" s="15"/>
      <c r="J19" s="15"/>
      <c r="K19" s="15"/>
      <c r="L19" s="15"/>
      <c r="M19" s="15"/>
      <c r="N19" s="15"/>
      <c r="O19" s="15"/>
      <c r="P19" s="15"/>
      <c r="Q19" s="16"/>
    </row>
    <row r="20" spans="2:17" x14ac:dyDescent="0.25">
      <c r="B20" s="14"/>
      <c r="C20" s="15"/>
      <c r="D20" s="15"/>
      <c r="E20" s="15"/>
      <c r="F20" s="15"/>
      <c r="G20" s="15"/>
      <c r="H20" s="15"/>
      <c r="I20" s="15"/>
      <c r="J20" s="15"/>
      <c r="K20" s="15"/>
      <c r="L20" s="15"/>
      <c r="M20" s="15"/>
      <c r="N20" s="15"/>
      <c r="O20" s="15"/>
      <c r="P20" s="15"/>
      <c r="Q20" s="16"/>
    </row>
    <row r="21" spans="2:17" x14ac:dyDescent="0.25">
      <c r="B21" s="14"/>
      <c r="C21" s="15"/>
      <c r="D21" s="15"/>
      <c r="E21" s="15"/>
      <c r="F21" s="15"/>
      <c r="G21" s="15"/>
      <c r="H21" s="15"/>
      <c r="I21" s="15"/>
      <c r="J21" s="15"/>
      <c r="K21" s="15"/>
      <c r="L21" s="15"/>
      <c r="M21" s="15"/>
      <c r="N21" s="15"/>
      <c r="O21" s="15"/>
      <c r="P21" s="15"/>
      <c r="Q21" s="16"/>
    </row>
    <row r="22" spans="2:17" x14ac:dyDescent="0.25">
      <c r="B22" s="14"/>
      <c r="C22" s="15"/>
      <c r="D22" s="15"/>
      <c r="E22" s="15"/>
      <c r="F22" s="15"/>
      <c r="G22" s="15"/>
      <c r="H22" s="15"/>
      <c r="I22" s="15"/>
      <c r="J22" s="15"/>
      <c r="K22" s="15"/>
      <c r="L22" s="15"/>
      <c r="M22" s="15"/>
      <c r="N22" s="15"/>
      <c r="O22" s="15"/>
      <c r="P22" s="15"/>
      <c r="Q22" s="16"/>
    </row>
    <row r="23" spans="2:17" x14ac:dyDescent="0.25">
      <c r="B23" s="14"/>
      <c r="C23" s="15"/>
      <c r="D23" s="15"/>
      <c r="E23" s="15"/>
      <c r="F23" s="15"/>
      <c r="G23" s="15"/>
      <c r="H23" s="15"/>
      <c r="I23" s="15"/>
      <c r="J23" s="15"/>
      <c r="K23" s="15"/>
      <c r="L23" s="15"/>
      <c r="M23" s="15"/>
      <c r="N23" s="15"/>
      <c r="O23" s="15"/>
      <c r="P23" s="15"/>
      <c r="Q23" s="16"/>
    </row>
    <row r="24" spans="2:17" x14ac:dyDescent="0.25">
      <c r="B24" s="14"/>
      <c r="C24" s="15"/>
      <c r="D24" s="15"/>
      <c r="E24" s="15"/>
      <c r="F24" s="15"/>
      <c r="G24" s="15"/>
      <c r="H24" s="15"/>
      <c r="I24" s="15"/>
      <c r="J24" s="15"/>
      <c r="K24" s="15"/>
      <c r="L24" s="15"/>
      <c r="M24" s="15"/>
      <c r="N24" s="15"/>
      <c r="O24" s="15"/>
      <c r="P24" s="15"/>
      <c r="Q24" s="16"/>
    </row>
    <row r="25" spans="2:17" x14ac:dyDescent="0.25">
      <c r="B25" s="14"/>
      <c r="C25" s="15"/>
      <c r="D25" s="15"/>
      <c r="E25" s="15"/>
      <c r="F25" s="15"/>
      <c r="G25" s="15"/>
      <c r="H25" s="15"/>
      <c r="I25" s="15"/>
      <c r="J25" s="15"/>
      <c r="K25" s="15"/>
      <c r="L25" s="15"/>
      <c r="M25" s="15"/>
      <c r="N25" s="15"/>
      <c r="O25" s="15"/>
      <c r="P25" s="15"/>
      <c r="Q25" s="16"/>
    </row>
    <row r="26" spans="2:17" x14ac:dyDescent="0.25">
      <c r="B26" s="14"/>
      <c r="C26" s="15"/>
      <c r="D26" s="15"/>
      <c r="E26" s="15"/>
      <c r="F26" s="15"/>
      <c r="G26" s="15"/>
      <c r="H26" s="15"/>
      <c r="I26" s="15"/>
      <c r="J26" s="15"/>
      <c r="K26" s="15"/>
      <c r="L26" s="15"/>
      <c r="M26" s="15"/>
      <c r="N26" s="15"/>
      <c r="O26" s="15"/>
      <c r="P26" s="15"/>
      <c r="Q26" s="16"/>
    </row>
    <row r="27" spans="2:17" x14ac:dyDescent="0.25">
      <c r="B27" s="14"/>
      <c r="C27" s="15"/>
      <c r="D27" s="15"/>
      <c r="E27" s="15"/>
      <c r="F27" s="15"/>
      <c r="G27" s="15"/>
      <c r="H27" s="15"/>
      <c r="I27" s="15"/>
      <c r="J27" s="15"/>
      <c r="K27" s="15"/>
      <c r="L27" s="15"/>
      <c r="M27" s="15"/>
      <c r="N27" s="15"/>
      <c r="O27" s="15"/>
      <c r="P27" s="15"/>
      <c r="Q27" s="16"/>
    </row>
    <row r="28" spans="2:17" x14ac:dyDescent="0.25">
      <c r="B28" s="14"/>
      <c r="C28" s="15"/>
      <c r="D28" s="15"/>
      <c r="E28" s="15"/>
      <c r="F28" s="15"/>
      <c r="G28" s="15"/>
      <c r="H28" s="15"/>
      <c r="I28" s="15"/>
      <c r="J28" s="15"/>
      <c r="K28" s="15"/>
      <c r="L28" s="15"/>
      <c r="M28" s="15"/>
      <c r="N28" s="15"/>
      <c r="O28" s="15"/>
      <c r="P28" s="15"/>
      <c r="Q28" s="16"/>
    </row>
    <row r="29" spans="2:17" x14ac:dyDescent="0.25">
      <c r="B29" s="14"/>
      <c r="C29" s="15"/>
      <c r="D29" s="15"/>
      <c r="E29" s="15"/>
      <c r="F29" s="15"/>
      <c r="G29" s="15"/>
      <c r="H29" s="15"/>
      <c r="I29" s="15"/>
      <c r="J29" s="15"/>
      <c r="K29" s="15"/>
      <c r="L29" s="15"/>
      <c r="M29" s="15"/>
      <c r="N29" s="15"/>
      <c r="O29" s="15"/>
      <c r="P29" s="15"/>
      <c r="Q29" s="16"/>
    </row>
    <row r="30" spans="2:17" x14ac:dyDescent="0.25">
      <c r="B30" s="14"/>
      <c r="C30" s="15"/>
      <c r="D30" s="15"/>
      <c r="E30" s="15"/>
      <c r="F30" s="15"/>
      <c r="G30" s="15"/>
      <c r="H30" s="15"/>
      <c r="I30" s="15"/>
      <c r="J30" s="15"/>
      <c r="K30" s="15"/>
      <c r="L30" s="15"/>
      <c r="M30" s="15"/>
      <c r="N30" s="15"/>
      <c r="O30" s="15"/>
      <c r="P30" s="15"/>
      <c r="Q30" s="16"/>
    </row>
    <row r="31" spans="2:17" x14ac:dyDescent="0.25">
      <c r="B31" s="14"/>
      <c r="C31" s="15"/>
      <c r="D31" s="15"/>
      <c r="E31" s="15"/>
      <c r="F31" s="15"/>
      <c r="G31" s="15"/>
      <c r="H31" s="15"/>
      <c r="I31" s="15"/>
      <c r="J31" s="15"/>
      <c r="K31" s="15"/>
      <c r="L31" s="15"/>
      <c r="M31" s="15"/>
      <c r="N31" s="15"/>
      <c r="O31" s="15"/>
      <c r="P31" s="15"/>
      <c r="Q31" s="16"/>
    </row>
    <row r="32" spans="2:17" x14ac:dyDescent="0.25">
      <c r="B32" s="14"/>
      <c r="C32" s="15"/>
      <c r="D32" s="15"/>
      <c r="E32" s="15"/>
      <c r="F32" s="15"/>
      <c r="G32" s="15"/>
      <c r="H32" s="15"/>
      <c r="I32" s="15"/>
      <c r="J32" s="15"/>
      <c r="K32" s="15"/>
      <c r="L32" s="15"/>
      <c r="M32" s="15"/>
      <c r="N32" s="15"/>
      <c r="O32" s="15"/>
      <c r="P32" s="15"/>
      <c r="Q32" s="16"/>
    </row>
    <row r="33" spans="2:17" ht="10.5" customHeight="1" thickBot="1" x14ac:dyDescent="0.3">
      <c r="B33" s="17"/>
      <c r="C33" s="18"/>
      <c r="D33" s="18"/>
      <c r="E33" s="18"/>
      <c r="F33" s="18"/>
      <c r="G33" s="18"/>
      <c r="H33" s="18"/>
      <c r="I33" s="18"/>
      <c r="J33" s="18"/>
      <c r="K33" s="18"/>
      <c r="L33" s="18"/>
      <c r="M33" s="18"/>
      <c r="N33" s="18"/>
      <c r="O33" s="18"/>
      <c r="P33" s="18"/>
      <c r="Q33" s="19"/>
    </row>
  </sheetData>
  <mergeCells count="1">
    <mergeCell ref="B2:Q4"/>
  </mergeCells>
  <pageMargins left="0.7" right="0.7" top="0.75" bottom="0.75" header="0.3" footer="0.3"/>
  <pageSetup scale="54" fitToHeight="0" orientation="landscape"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clean_data</vt:lpstr>
      <vt:lpstr>basics_statistic</vt:lpstr>
      <vt:lpstr>visualization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Hype GLK</dc:creator>
  <cp:lastModifiedBy>Hype GLK</cp:lastModifiedBy>
  <cp:lastPrinted>2025-11-12T14:32:18Z</cp:lastPrinted>
  <dcterms:created xsi:type="dcterms:W3CDTF">2025-11-12T10:10:05Z</dcterms:created>
  <dcterms:modified xsi:type="dcterms:W3CDTF">2025-11-12T14:32:37Z</dcterms:modified>
</cp:coreProperties>
</file>